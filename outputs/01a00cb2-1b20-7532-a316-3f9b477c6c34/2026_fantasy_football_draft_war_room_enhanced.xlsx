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5f32baa2a84b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r Room" sheetId="1" r:id="Ra1033d8577884415"/>
    <x:sheet xmlns:r="http://schemas.openxmlformats.org/officeDocument/2006/relationships" name="Player Board" sheetId="2" r:id="R6764ddda0fb04956"/>
    <x:sheet xmlns:r="http://schemas.openxmlformats.org/officeDocument/2006/relationships" name="Sources &amp; Model" sheetId="3" r:id="R64b4c0ee24f94ae9"/>
    <x:sheet xmlns:r="http://schemas.openxmlformats.org/officeDocument/2006/relationships" name="Research Inbox" sheetId="4" r:id="R3e1f4e376ea44f09"/>
    <x:sheet xmlns:r="http://schemas.openxmlformats.org/officeDocument/2006/relationships" name="Draft Log" sheetId="5" r:id="Rf25335eba142470b"/>
  </x:sheets>
</x:workbook>
</file>

<file path=xl/comments1.xml><?xml version="1.0" encoding="utf-8"?>
<x:comments xmlns:x="http://schemas.openxmlformats.org/spreadsheetml/2006/main">
  <x:authors>
    <x:author>tc={F54DC224-8406-1530-E5B6-1AC4CA2337EA}</x:author>
    <x:author>tc={B39C1742-BE2F-0692-29D1-FCBA847BD57B}</x:author>
    <x:author>tc={06B2ACC5-380B-6917-BB1A-E83053083507}</x:author>
    <x:author>tc={BC6EE4D3-22D8-1EE5-2286-6BE697F516E6}</x:author>
  </x:authors>
  <x:commentList>
    <x:comment ref="L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Formula: inverse ADP percentile within this published player pool.</x:t>
        </x:r>
      </x:text>
    </x:comment>
    <x:comment ref="N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Formula: conservative starter/bench need based on rows marked Mine. The web UI has the richer slot-aware implementation.</x:t>
        </x:r>
      </x:text>
    </x:comment>
    <x:comment ref="O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Imported deterministic opening-board scarcity component. Use the web UI for live recalculation after every pick.</x:t>
        </x:r>
      </x:text>
    </x:comment>
    <x:comment ref="S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Small schedule modifier using corrected roof/rest/international context. It is not a game forecast.</x:t>
        </x:r>
      </x:text>
    </x:comment>
  </x:commentList>
</x:comments>
</file>

<file path=xl/comments2.xml><?xml version="1.0" encoding="utf-8"?>
<x:comments xmlns:x="http://schemas.openxmlformats.org/spreadsheetml/2006/main">
  <x:authors>
    <x:author>tc={F30AE609-A4B0-E1B5-8A9E-06D0412FC3E5}</x:author>
    <x:author>tc={9A553EB7-1BA7-869B-429A-1381A51198D2}</x:author>
    <x:author>tc={962FC8AE-DF13-1902-A29E-3A18A358257F}</x:author>
    <x:author>tc={E8BCD22F-AFDD-FB2B-DF34-F84D3F291B7D}</x:author>
  </x:authors>
  <x:commentList>
    <x:comment ref="B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Update this during a manual workbook draft. The web UI advances it automatically.</x:t>
        </x:r>
      </x:text>
    </x:comment>
    <x:comment ref="B5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Enter the next pick at which you can select. This drives urgency.</x:t>
        </x:r>
      </x:text>
    </x:comment>
    <x:comment ref="B20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Schedule context is deliberately capped low until walk-forward validation proves incremental value.</x:t>
        </x:r>
      </x:text>
    </x:comment>
    <x:comment ref="B2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Historical split context is observational, sample-shrunk, and not a generic turf penalty.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"/>
    <x:numFmt numFmtId="202" formatCode="yyyy-mm-dd hh:mm"/>
    <x:numFmt numFmtId="203" formatCode="yyyy-mm-dd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0B1F3A"/>
      <x:name val="Carlito"/>
    </x:font>
    <x:font>
      <x:b/>
      <x:sz val="11"/>
      <x:color rgb="FFFFFFFF"/>
      <x:name val="Carlito"/>
    </x:font>
    <x:font>
      <x:b/>
      <x:sz val="20"/>
      <x:color rgb="FF0B1F3A"/>
      <x:name val="Carlito"/>
    </x:font>
    <x:font>
      <x:i/>
      <x:sz val="11"/>
      <x:color rgb="FF595959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2F75B5"/>
      </x:patternFill>
    </x:fill>
  </x:fills>
  <x:borders count="16">
    <x:border/>
    <x:border>
      <x:left style="thin">
        <x:color rgb="FFA6A6A6"/>
      </x:left>
      <x:top style="thin">
        <x:color rgb="FFA6A6A6"/>
      </x:top>
    </x:border>
    <x:border>
      <x:top style="thin">
        <x:color rgb="FFA6A6A6"/>
      </x:top>
    </x:border>
    <x:border>
      <x:right style="thin">
        <x:color rgb="FFA6A6A6"/>
      </x:right>
      <x:top style="thin">
        <x:color rgb="FFA6A6A6"/>
      </x:top>
    </x:border>
    <x:border>
      <x:left style="thin">
        <x:color rgb="FFA6A6A6"/>
      </x:left>
      <x:bottom style="thin">
        <x:color rgb="FFA6A6A6"/>
      </x:bottom>
    </x:border>
    <x:border>
      <x:bottom style="thin">
        <x:color rgb="FFA6A6A6"/>
      </x:bottom>
    </x:border>
    <x:border>
      <x:right style="thin">
        <x:color rgb="FFA6A6A6"/>
      </x:right>
      <x:bottom style="thin">
        <x:color rgb="FFA6A6A6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9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4" fillId="3" borderId="5" xfId="0" applyNumberFormat="1" applyFont="1" applyFill="1" applyBorder="1" applyAlignment="1">
      <x:alignment horizontal="center"/>
    </x:xf>
    <x:xf numFmtId="0" fontId="4" fillId="3" borderId="6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4" xfId="0" applyNumberFormat="1" applyFont="1" applyFill="1" applyBorder="1" applyAlignment="1">
      <x:alignment horizontal="center" vertical="center"/>
    </x:xf>
    <x:xf numFmtId="0" fontId="4" fillId="3" borderId="5" xfId="0" applyNumberFormat="1" applyFont="1" applyFill="1" applyBorder="1" applyAlignment="1">
      <x:alignment horizontal="center" vertical="center"/>
    </x:xf>
    <x:xf numFmtId="0" fontId="4" fillId="3" borderId="6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1" xfId="0" applyNumberFormat="1" applyFont="1" applyFill="1" applyBorder="1" applyAlignment="1">
      <x:alignment horizontal="center"/>
    </x:xf>
    <x:xf numFmtId="0" fontId="4" fillId="4" borderId="2" xfId="0" applyNumberFormat="1" applyFont="1" applyFill="1" applyBorder="1" applyAlignment="1">
      <x:alignment horizontal="center"/>
    </x:xf>
    <x:xf numFmtId="0" fontId="4" fillId="4" borderId="3" xfId="0" applyNumberFormat="1" applyFont="1" applyFill="1" applyBorder="1" applyAlignment="1">
      <x:alignment horizontal="center"/>
    </x:xf>
    <x:xf numFmtId="0" fontId="4" fillId="4" borderId="4" xfId="0" applyNumberFormat="1" applyFont="1" applyFill="1" applyBorder="1" applyAlignment="1">
      <x:alignment horizontal="center"/>
    </x:xf>
    <x:xf numFmtId="0" fontId="4" fillId="4" borderId="5" xfId="0" applyNumberFormat="1" applyFont="1" applyFill="1" applyBorder="1" applyAlignment="1">
      <x:alignment horizontal="center"/>
    </x:xf>
    <x:xf numFmtId="0" fontId="4" fillId="4" borderId="6" xfId="0" applyNumberFormat="1" applyFont="1" applyFill="1" applyBorder="1" applyAlignment="1">
      <x:alignment horizontal="center"/>
    </x:xf>
    <x:xf numFmtId="0" fontId="4" fillId="4" borderId="1" xfId="0" applyNumberFormat="1" applyFont="1" applyFill="1" applyBorder="1" applyAlignment="1">
      <x:alignment horizontal="center" vertical="center"/>
    </x:xf>
    <x:xf numFmtId="0" fontId="4" fillId="4" borderId="2" xfId="0" applyNumberFormat="1" applyFont="1" applyFill="1" applyBorder="1" applyAlignment="1">
      <x:alignment horizontal="center" vertical="center"/>
    </x:xf>
    <x:xf numFmtId="0" fontId="4" fillId="4" borderId="3" xfId="0" applyNumberFormat="1" applyFont="1" applyFill="1" applyBorder="1" applyAlignment="1">
      <x:alignment horizontal="center" vertical="center"/>
    </x:xf>
    <x:xf numFmtId="0" fontId="4" fillId="4" borderId="4" xfId="0" applyNumberFormat="1" applyFont="1" applyFill="1" applyBorder="1" applyAlignment="1">
      <x:alignment horizontal="center" vertical="center"/>
    </x:xf>
    <x:xf numFmtId="0" fontId="4" fillId="4" borderId="5" xfId="0" applyNumberFormat="1" applyFont="1" applyFill="1" applyBorder="1" applyAlignment="1">
      <x:alignment horizontal="center" vertical="center"/>
    </x:xf>
    <x:xf numFmtId="0" fontId="4" fillId="4" borderId="6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6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 applyAlignment="1">
      <x:alignment horizontal="center"/>
    </x:xf>
    <x:xf numFmtId="0" fontId="4" fillId="5" borderId="4" xfId="0" applyNumberFormat="1" applyFont="1" applyFill="1" applyBorder="1" applyAlignment="1">
      <x:alignment horizontal="center"/>
    </x:xf>
    <x:xf numFmtId="0" fontId="4" fillId="5" borderId="6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3" xfId="0" applyNumberFormat="1" applyFont="1" applyFill="1" applyBorder="1" applyAlignment="1">
      <x:alignment horizontal="center" vertical="center"/>
    </x:xf>
    <x:xf numFmtId="0" fontId="4" fillId="5" borderId="4" xfId="0" applyNumberFormat="1" applyFont="1" applyFill="1" applyBorder="1" applyAlignment="1">
      <x:alignment horizontal="center" vertical="center"/>
    </x:xf>
    <x:xf numFmtId="0" fontId="4" fillId="5" borderId="6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20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11" xfId="0" applyNumberFormat="1" applyFont="1" applyFill="1" applyBorder="1"/>
    <x:xf numFmtId="20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4" borderId="0" xfId="0" applyNumberFormat="1" applyFont="1" applyFill="1" applyBorder="1"/>
    <x:xf numFmtId="200" fontId="0" fillId="4" borderId="0" xfId="0" applyNumberFormat="1" applyFont="1" applyFill="1" applyBorder="1"/>
    <x:xf numFmtId="200" fontId="6" fillId="0" borderId="0" xfId="0" applyNumberFormat="1" applyFont="1" applyFill="1" applyBorder="1"/>
    <x:xf numFmtId="200" fontId="7" fillId="0" borderId="0" xfId="0" applyNumberFormat="1" applyFont="1" applyFill="1" applyBorder="1"/>
    <x:xf numFmtId="201" fontId="0" fillId="3" borderId="0" xfId="0" applyNumberFormat="1" applyFont="1" applyFill="1" applyBorder="1"/>
    <x:xf numFmtId="202" fontId="0" fillId="0" borderId="0" xfId="0" applyNumberFormat="1" applyFont="1" applyFill="1" applyBorder="1"/>
    <x:xf numFmtId="0" fontId="3" fillId="6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006100"/>
      </x:font>
      <x:fill>
        <x:patternFill patternType="solid">
          <x:bgColor rgb="FFE2F0D9"/>
        </x:patternFill>
      </x:fill>
    </x:dxf>
    <x:dxf>
      <x:font>
        <x:color rgb="FF595959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c98d2387f4311" /><Relationship Type="http://schemas.openxmlformats.org/officeDocument/2006/relationships/theme" Target="/xl/theme/theme1.xml" Id="Re11b6fc0596c41bb" /><Relationship Type="http://schemas.openxmlformats.org/officeDocument/2006/relationships/sharedStrings" Target="/xl/sharedStrings.xml" Id="R1b0f0f9b99594c46" /><Relationship Type="http://schemas.openxmlformats.org/officeDocument/2006/relationships/worksheet" Target="/xl/worksheets/sheet1.xml" Id="Ra1033d8577884415" /><Relationship Type="http://schemas.openxmlformats.org/officeDocument/2006/relationships/worksheet" Target="/xl/worksheets/sheet2.xml" Id="R6764ddda0fb04956" /><Relationship Type="http://schemas.openxmlformats.org/officeDocument/2006/relationships/worksheet" Target="/xl/worksheets/sheet3.xml" Id="R64b4c0ee24f94ae9" /><Relationship Type="http://schemas.openxmlformats.org/officeDocument/2006/relationships/worksheet" Target="/xl/worksheets/sheet4.xml" Id="R3e1f4e376ea44f09" /><Relationship Type="http://schemas.openxmlformats.org/officeDocument/2006/relationships/worksheet" Target="/xl/worksheets/sheet5.xml" Id="Rf25335eba142470b" /><Relationship Type="http://schemas.microsoft.com/office/2017/10/relationships/person" Target="/xl/persons/person.xml" Id="Rc4151091dbaa45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33cc521707e4ed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Draftable pool by position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'War Room'!$H$28:$H$33</c:f>
              <c:strCache>
                <c:ptCount val="0"/>
              </c:strCache>
            </c:strRef>
          </c:cat>
          <c:val>
            <c:numRef>
              <c:f>'War Room'!$I$28:$I$33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33cc521707e4ed3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War Room Maintainer" id="{91ABAA95-4954-47F0-AE77-A89C9336B350}"/>
</xltc:personList>
</file>

<file path=xl/tables/table1.xml><?xml version="1.0" encoding="utf-8"?>
<x:table xmlns:x="http://schemas.openxmlformats.org/spreadsheetml/2006/main" id="1" name="PlayerBoardTable" displayName="PlayerBoardTable" ref="A4:W265" headerRowCount="1" totalsRowCount="0" totalsRowShown="0">
  <x:autoFilter ref="A4:W265"/>
  <x:tableColumns count="23">
    <x:tableColumn id="1" name="Rank"/>
    <x:tableColumn id="2" name="Player"/>
    <x:tableColumn id="3" name="Pos"/>
    <x:tableColumn id="4" name="Team"/>
    <x:tableColumn id="5" name="Bye"/>
    <x:tableColumn id="6" name="ADP"/>
    <x:tableColumn id="7" name="ADP High"/>
    <x:tableColumn id="8" name="ADP Low"/>
    <x:tableColumn id="9" name="Stdev"/>
    <x:tableColumn id="10" name="Times Drafted"/>
    <x:tableColumn id="11" name="Tier"/>
    <x:tableColumn id="12" name="Market"/>
    <x:tableColumn id="13" name="Pick Value"/>
    <x:tableColumn id="14" name="Roster Need"/>
    <x:tableColumn id="15" name="Scarcity"/>
    <x:tableColumn id="16" name="Urgency"/>
    <x:tableColumn id="17" name="Role"/>
    <x:tableColumn id="18" name="Availability"/>
    <x:tableColumn id="19" name="Schedule"/>
    <x:tableColumn id="20" name="Splits"/>
    <x:tableColumn id="21" name="War Score"/>
    <x:tableColumn id="22" name="Draft Status"/>
    <x:tableColumn id="23" name="Source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L4" dT="2026-08-16T23:28:11.046" personId="{91ABAA95-4954-47F0-AE77-A89C9336B350}" id="{F54DC224-8406-1530-E5B6-1AC4CA2337EA}">
    <xltc:text>Formula: inverse ADP percentile within this published player pool.</xltc:text>
  </xltc:threadedComment>
  <xltc:threadedComment ref="N4" dT="2026-08-16T23:28:11.046" personId="{91ABAA95-4954-47F0-AE77-A89C9336B350}" id="{B39C1742-BE2F-0692-29D1-FCBA847BD57B}">
    <xltc:text>Formula: conservative starter/bench need based on rows marked Mine. The web UI has the richer slot-aware implementation.</xltc:text>
  </xltc:threadedComment>
  <xltc:threadedComment ref="O4" dT="2026-08-16T23:28:11.046" personId="{91ABAA95-4954-47F0-AE77-A89C9336B350}" id="{06B2ACC5-380B-6917-BB1A-E83053083507}">
    <xltc:text>Imported deterministic opening-board scarcity component. Use the web UI for live recalculation after every pick.</xltc:text>
  </xltc:threadedComment>
  <xltc:threadedComment ref="S4" dT="2026-08-16T23:28:11.046" personId="{91ABAA95-4954-47F0-AE77-A89C9336B350}" id="{BC6EE4D3-22D8-1EE5-2286-6BE697F516E6}">
    <xltc:text>Small schedule modifier using corrected roof/rest/international context. It is not a game forecast.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B4" dT="2026-08-16T23:28:11.145" personId="{91ABAA95-4954-47F0-AE77-A89C9336B350}" id="{F30AE609-A4B0-E1B5-8A9E-06D0412FC3E5}">
    <xltc:text>Update this during a manual workbook draft. The web UI advances it automatically.</xltc:text>
  </xltc:threadedComment>
  <xltc:threadedComment ref="B5" dT="2026-08-16T23:28:11.145" personId="{91ABAA95-4954-47F0-AE77-A89C9336B350}" id="{9A553EB7-1BA7-869B-429A-1381A51198D2}">
    <xltc:text>Enter the next pick at which you can select. This drives urgency.</xltc:text>
  </xltc:threadedComment>
  <xltc:threadedComment ref="B20" dT="2026-08-16T23:28:11.151" personId="{91ABAA95-4954-47F0-AE77-A89C9336B350}" id="{962FC8AE-DF13-1902-A29E-3A18A358257F}">
    <xltc:text>Schedule context is deliberately capped low until walk-forward validation proves incremental value.</xltc:text>
  </xltc:threadedComment>
  <xltc:threadedComment ref="B21" dT="2026-08-16T23:28:11.151" personId="{91ABAA95-4954-47F0-AE77-A89C9336B350}" id="{E8BCD22F-AFDD-FB2B-DF34-F84D3F291B7D}">
    <xltc:text>Historical split context is observational, sample-shrunk, and not a generic turf penalty.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6dc63bbded145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c86da0c68ab24f43" /><Relationship Type="http://schemas.openxmlformats.org/officeDocument/2006/relationships/vmlDrawing" Target="/xl/drawings/vmldrawing.vml" Id="Re51cdd5b863a4371" /><Relationship Type="http://schemas.microsoft.com/office/2017/10/relationships/threadedComment" Target="/xl/threadedcomments/threadedcomment.xml" Id="R0a13616c584d4cbf" /><Relationship Type="http://schemas.openxmlformats.org/officeDocument/2006/relationships/table" Target="/xl/tables/table1.xml" Id="Re36e2dd9fdb948e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e431a7bf465547dd" /><Relationship Type="http://schemas.openxmlformats.org/officeDocument/2006/relationships/vmlDrawing" Target="/xl/drawings/vmldrawing2.vml" Id="R22a5fbd4a8b84090" /><Relationship Type="http://schemas.microsoft.com/office/2017/10/relationships/threadedComment" Target="/xl/threadedcomments/threadedcomment2.xml" Id="R6b759e71309643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5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</x:cols>
  <x:sheetData>
    <x:row r="1" ht="30" customHeight="1">
      <x:c r="A1" s="4" t="str">
        <x:v>2026 Fantasy Football Draft War Room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>
      <x:c r="A3" s="6" t="str">
        <x:v>Source-aware 10-team full-PPR board · Snapshot 20260816-a258048e29 · Generated 2026-08-16T23:25:26.417Z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</x:row>
    <x:row r="5">
      <x:c r="A5" s="8" t="str">
        <x:v>Players</x:v>
      </x:c>
      <x:c r="B5" s="8"/>
      <x:c r="C5" s="8"/>
      <x:c r="E5" s="8" t="str">
        <x:v>Current pick</x:v>
      </x:c>
      <x:c r="F5" s="8"/>
      <x:c r="G5" s="8"/>
      <x:c r="I5" s="8" t="str">
        <x:v>Next manager pick</x:v>
      </x:c>
      <x:c r="J5" s="8"/>
      <x:c r="K5" s="8"/>
      <x:c r="M5" s="8" t="str">
        <x:v>Flagged status</x:v>
      </x:c>
      <x:c r="N5" s="8"/>
    </x:row>
    <x:row r="6">
      <x:c r="A6" s="22" t="n">
        <x:v>261</x:v>
      </x:c>
      <x:c r="B6" s="23"/>
      <x:c r="C6" s="24"/>
      <x:c r="E6" s="42" t="n">
        <x:v>1</x:v>
      </x:c>
      <x:c r="F6" s="43"/>
      <x:c r="G6" s="44"/>
      <x:c r="I6" s="42" t="n">
        <x:v>1</x:v>
      </x:c>
      <x:c r="J6" s="43"/>
      <x:c r="K6" s="44"/>
      <x:c r="M6" s="58" t="n">
        <x:v>34</x:v>
      </x:c>
      <x:c r="N6" s="59"/>
    </x:row>
    <x:row r="7">
      <x:c r="A7" s="25"/>
      <x:c r="B7" s="26"/>
      <x:c r="C7" s="27"/>
      <x:c r="E7" s="45"/>
      <x:c r="F7" s="46"/>
      <x:c r="G7" s="47"/>
      <x:c r="I7" s="45"/>
      <x:c r="J7" s="46"/>
      <x:c r="K7" s="47"/>
      <x:c r="M7" s="60"/>
      <x:c r="N7" s="61"/>
    </x:row>
    <x:row r="9" ht="22" customHeight="1">
      <x:c r="A9" s="64" t="str">
        <x:v>Rank</x:v>
      </x:c>
      <x:c r="B9" s="64" t="str">
        <x:v>Player</x:v>
      </x:c>
      <x:c r="C9" s="64" t="str">
        <x:v>Pos</x:v>
      </x:c>
      <x:c r="D9" s="64" t="str">
        <x:v>Team</x:v>
      </x:c>
      <x:c r="E9" s="64" t="str">
        <x:v>ADP</x:v>
      </x:c>
      <x:c r="F9" s="64" t="str">
        <x:v>War Score</x:v>
      </x:c>
    </x:row>
    <x:row r="10">
      <x:c r="A10" s="66" t="n">
        <x:v>1</x:v>
      </x:c>
      <x:c r="B10" s="67" t="str">
        <x:v>Bijan Robinson</x:v>
      </x:c>
      <x:c r="C10" s="67" t="str">
        <x:v>RB</x:v>
      </x:c>
      <x:c r="D10" s="67" t="str">
        <x:v>ATL</x:v>
      </x:c>
      <x:c r="E10" s="68" t="n">
        <x:v>1.7</x:v>
      </x:c>
      <x:c r="F10" s="69" t="n">
        <x:v>89.1</x:v>
      </x:c>
    </x:row>
    <x:row r="11">
      <x:c r="A11" s="70" t="n">
        <x:v>2</x:v>
      </x:c>
      <x:c r="B11" s="71" t="str">
        <x:v>Jahmyr Gibbs</x:v>
      </x:c>
      <x:c r="C11" s="71" t="str">
        <x:v>RB</x:v>
      </x:c>
      <x:c r="D11" s="71" t="str">
        <x:v>DET</x:v>
      </x:c>
      <x:c r="E11" s="72" t="n">
        <x:v>1.8</x:v>
      </x:c>
      <x:c r="F11" s="73" t="n">
        <x:v>89.1</x:v>
      </x:c>
    </x:row>
    <x:row r="12">
      <x:c r="A12" s="70" t="n">
        <x:v>3</x:v>
      </x:c>
      <x:c r="B12" s="71" t="str">
        <x:v>Ja'Marr Chase</x:v>
      </x:c>
      <x:c r="C12" s="71" t="str">
        <x:v>WR</x:v>
      </x:c>
      <x:c r="D12" s="71" t="str">
        <x:v>CIN</x:v>
      </x:c>
      <x:c r="E12" s="72" t="n">
        <x:v>3.9</x:v>
      </x:c>
      <x:c r="F12" s="73" t="n">
        <x:v>88</x:v>
      </x:c>
    </x:row>
    <x:row r="13">
      <x:c r="A13" s="70" t="n">
        <x:v>4</x:v>
      </x:c>
      <x:c r="B13" s="71" t="str">
        <x:v>Jaxon Smith-Njigba</x:v>
      </x:c>
      <x:c r="C13" s="71" t="str">
        <x:v>WR</x:v>
      </x:c>
      <x:c r="D13" s="71" t="str">
        <x:v>SEA</x:v>
      </x:c>
      <x:c r="E13" s="72" t="n">
        <x:v>5.4</x:v>
      </x:c>
      <x:c r="F13" s="73" t="n">
        <x:v>87.2</x:v>
      </x:c>
    </x:row>
    <x:row r="14">
      <x:c r="A14" s="70" t="n">
        <x:v>5</x:v>
      </x:c>
      <x:c r="B14" s="71" t="str">
        <x:v>Puka Nacua</x:v>
      </x:c>
      <x:c r="C14" s="71" t="str">
        <x:v>WR</x:v>
      </x:c>
      <x:c r="D14" s="71" t="str">
        <x:v>LAR</x:v>
      </x:c>
      <x:c r="E14" s="72" t="n">
        <x:v>3.1</x:v>
      </x:c>
      <x:c r="F14" s="73" t="n">
        <x:v>86.9</x:v>
      </x:c>
    </x:row>
    <x:row r="15">
      <x:c r="A15" s="70" t="n">
        <x:v>6</x:v>
      </x:c>
      <x:c r="B15" s="71" t="str">
        <x:v>Amon-Ra St. Brown</x:v>
      </x:c>
      <x:c r="C15" s="71" t="str">
        <x:v>WR</x:v>
      </x:c>
      <x:c r="D15" s="71" t="str">
        <x:v>DET</x:v>
      </x:c>
      <x:c r="E15" s="72" t="n">
        <x:v>6.7</x:v>
      </x:c>
      <x:c r="F15" s="73" t="n">
        <x:v>86.8</x:v>
      </x:c>
    </x:row>
    <x:row r="16">
      <x:c r="A16" s="70" t="n">
        <x:v>7</x:v>
      </x:c>
      <x:c r="B16" s="71" t="str">
        <x:v>Jonathan Taylor</x:v>
      </x:c>
      <x:c r="C16" s="71" t="str">
        <x:v>RB</x:v>
      </x:c>
      <x:c r="D16" s="71" t="str">
        <x:v>IND</x:v>
      </x:c>
      <x:c r="E16" s="72" t="n">
        <x:v>7.4</x:v>
      </x:c>
      <x:c r="F16" s="73" t="n">
        <x:v>86.4</x:v>
      </x:c>
    </x:row>
    <x:row r="17">
      <x:c r="A17" s="70" t="n">
        <x:v>8</x:v>
      </x:c>
      <x:c r="B17" s="71" t="str">
        <x:v>Christian McCaffrey</x:v>
      </x:c>
      <x:c r="C17" s="71" t="str">
        <x:v>RB</x:v>
      </x:c>
      <x:c r="D17" s="71" t="str">
        <x:v>SF</x:v>
      </x:c>
      <x:c r="E17" s="72" t="n">
        <x:v>6.3</x:v>
      </x:c>
      <x:c r="F17" s="73" t="n">
        <x:v>85.2</x:v>
      </x:c>
    </x:row>
    <x:row r="18">
      <x:c r="A18" s="70" t="n">
        <x:v>9</x:v>
      </x:c>
      <x:c r="B18" s="71" t="str">
        <x:v>Drake London</x:v>
      </x:c>
      <x:c r="C18" s="71" t="str">
        <x:v>WR</x:v>
      </x:c>
      <x:c r="D18" s="71" t="str">
        <x:v>ATL</x:v>
      </x:c>
      <x:c r="E18" s="72" t="n">
        <x:v>10.2</x:v>
      </x:c>
      <x:c r="F18" s="73" t="n">
        <x:v>84.6</x:v>
      </x:c>
    </x:row>
    <x:row r="19">
      <x:c r="A19" s="70" t="n">
        <x:v>10</x:v>
      </x:c>
      <x:c r="B19" s="71" t="str">
        <x:v>De'Von Achane</x:v>
      </x:c>
      <x:c r="C19" s="71" t="str">
        <x:v>RB</x:v>
      </x:c>
      <x:c r="D19" s="71" t="str">
        <x:v>MIA</x:v>
      </x:c>
      <x:c r="E19" s="72" t="n">
        <x:v>10.3</x:v>
      </x:c>
      <x:c r="F19" s="73" t="n">
        <x:v>84.6</x:v>
      </x:c>
    </x:row>
    <x:row r="20">
      <x:c r="A20" s="70" t="n">
        <x:v>11</x:v>
      </x:c>
      <x:c r="B20" s="71" t="str">
        <x:v>CeeDee Lamb</x:v>
      </x:c>
      <x:c r="C20" s="71" t="str">
        <x:v>WR</x:v>
      </x:c>
      <x:c r="D20" s="71" t="str">
        <x:v>DAL</x:v>
      </x:c>
      <x:c r="E20" s="72" t="n">
        <x:v>10.9</x:v>
      </x:c>
      <x:c r="F20" s="73" t="n">
        <x:v>83.5</x:v>
      </x:c>
    </x:row>
    <x:row r="21">
      <x:c r="A21" s="74" t="n">
        <x:v>12</x:v>
      </x:c>
      <x:c r="B21" s="75" t="str">
        <x:v>Chase Brown</x:v>
      </x:c>
      <x:c r="C21" s="75" t="str">
        <x:v>RB</x:v>
      </x:c>
      <x:c r="D21" s="75" t="str">
        <x:v>CIN</x:v>
      </x:c>
      <x:c r="E21" s="76" t="n">
        <x:v>13.3</x:v>
      </x:c>
      <x:c r="F21" s="77" t="n">
        <x:v>80.3</x:v>
      </x:c>
    </x:row>
    <x:row r="24" ht="34" customHeight="1">
      <x:c r="A24" s="79" t="str">
        <x:v>Top recommendations are the deterministic opening-board model. Use the web UI for live roster, scarcity, and next-turn recalculation.</x:v>
      </x:c>
      <x:c r="B24" s="79"/>
      <x:c r="C24" s="79"/>
      <x:c r="D24" s="79"/>
      <x:c r="E24" s="79"/>
      <x:c r="F24" s="79"/>
    </x:row>
    <x:row r="27" ht="22" customHeight="1">
      <x:c r="H27" s="64" t="str">
        <x:v>Position</x:v>
      </x:c>
      <x:c r="I27" s="64" t="str">
        <x:v>Count</x:v>
      </x:c>
    </x:row>
    <x:row r="28">
      <x:c r="H28" t="str">
        <x:v>QB</x:v>
      </x:c>
      <x:c r="I28" t="n">
        <x:f>COUNTIF('Player Board'!$C$5:$C$265,H28)</x:f>
        <x:v>29</x:v>
      </x:c>
    </x:row>
    <x:row r="29">
      <x:c r="H29" t="str">
        <x:v>RB</x:v>
      </x:c>
      <x:c r="I29" t="n">
        <x:f>COUNTIF('Player Board'!$C$5:$C$265,H29)</x:f>
        <x:v>67</x:v>
      </x:c>
    </x:row>
    <x:row r="30">
      <x:c r="H30" t="str">
        <x:v>WR</x:v>
      </x:c>
      <x:c r="I30" t="n">
        <x:f>COUNTIF('Player Board'!$C$5:$C$265,H30)</x:f>
        <x:v>92</x:v>
      </x:c>
    </x:row>
    <x:row r="31">
      <x:c r="H31" t="str">
        <x:v>TE</x:v>
      </x:c>
      <x:c r="I31" t="n">
        <x:f>COUNTIF('Player Board'!$C$5:$C$265,H31)</x:f>
        <x:v>26</x:v>
      </x:c>
    </x:row>
    <x:row r="32">
      <x:c r="H32" t="str">
        <x:v>D/ST</x:v>
      </x:c>
      <x:c r="I32" t="n">
        <x:f>COUNTIF('Player Board'!$C$5:$C$265,H32)</x:f>
        <x:v>27</x:v>
      </x:c>
    </x:row>
    <x:row r="33">
      <x:c r="H33" t="str">
        <x:v>K</x:v>
      </x:c>
      <x:c r="I33" t="n">
        <x:f>COUNTIF('Player Board'!$C$5:$C$265,H33)</x:f>
        <x:v>20</x:v>
      </x:c>
    </x:row>
  </x:sheetData>
  <x:mergeCells>
    <x:mergeCell ref="A1:N2"/>
    <x:mergeCell ref="A3:N3"/>
    <x:mergeCell ref="A5:C5"/>
    <x:mergeCell ref="A6:C7"/>
    <x:mergeCell ref="E5:G5"/>
    <x:mergeCell ref="E6:G7"/>
    <x:mergeCell ref="I5:K5"/>
    <x:mergeCell ref="I6:K7"/>
    <x:mergeCell ref="M5:N5"/>
    <x:mergeCell ref="M6:N7"/>
    <x:mergeCell ref="A24:F24"/>
  </x:mergeCells>
  <x:conditionalFormatting sqref="F10:F21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{13AC2D99-BEBF-8D69-9CD1-8405D48B74A9}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36dc63bbded145d6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13AC2D99-BEBF-8D69-9CD1-8405D48B74A9}">
            <x14:dataBar gradient="1">
              <x14:cfvo type="min"/>
              <x14:cfvo type="max"/>
              <x14:fillColor rgb="FF2F75B5"/>
            </x14:dataBar>
          </x14:cfRule>
          <xm:sqref>F10:F21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8" hidden="0" customWidth="1"/>
    <x:col min="4" max="4" width="8" hidden="0" customWidth="1"/>
    <x:col min="5" max="5" width="8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3" hidden="0" customWidth="1"/>
    <x:col min="23" max="23" width="28" hidden="0" customWidth="1"/>
  </x:cols>
  <x:sheetData>
    <x:row r="1" ht="30" customHeight="1">
      <x:c r="A1" s="4" t="str">
        <x:v>Live Player 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</x:row>
    <x:row r="3">
      <x:c r="A3" s="6" t="str">
        <x:v>Blue cells are user inputs, green cells are imported observations, and black formula columns recalculate from visible assumptions.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  <x:c r="M3" s="6"/>
      <x:c r="N3" s="6"/>
      <x:c r="O3" s="6"/>
      <x:c r="P3" s="6"/>
      <x:c r="Q3" s="6"/>
      <x:c r="R3" s="6"/>
      <x:c r="S3" s="6"/>
      <x:c r="T3" s="6"/>
      <x:c r="U3" s="6"/>
      <x:c r="V3" s="6"/>
      <x:c r="W3" s="6"/>
    </x:row>
    <x:row r="4" ht="22" customHeight="1">
      <x:c r="A4" s="64" t="str">
        <x:v>Rank</x:v>
      </x:c>
      <x:c r="B4" s="64" t="str">
        <x:v>Player</x:v>
      </x:c>
      <x:c r="C4" s="64" t="str">
        <x:v>Pos</x:v>
      </x:c>
      <x:c r="D4" s="64" t="str">
        <x:v>Team</x:v>
      </x:c>
      <x:c r="E4" s="64" t="str">
        <x:v>Bye</x:v>
      </x:c>
      <x:c r="F4" s="64" t="str">
        <x:v>ADP</x:v>
      </x:c>
      <x:c r="G4" s="64" t="str">
        <x:v>ADP High</x:v>
      </x:c>
      <x:c r="H4" s="64" t="str">
        <x:v>ADP Low</x:v>
      </x:c>
      <x:c r="I4" s="64" t="str">
        <x:v>Stdev</x:v>
      </x:c>
      <x:c r="J4" s="64" t="str">
        <x:v>Times Drafted</x:v>
      </x:c>
      <x:c r="K4" s="64" t="str">
        <x:v>Tier</x:v>
      </x:c>
      <x:c r="L4" s="64" t="str">
        <x:v>Market</x:v>
      </x:c>
      <x:c r="M4" s="64" t="str">
        <x:v>Pick Value</x:v>
      </x:c>
      <x:c r="N4" s="64" t="str">
        <x:v>Roster Need</x:v>
      </x:c>
      <x:c r="O4" s="64" t="str">
        <x:v>Scarcity</x:v>
      </x:c>
      <x:c r="P4" s="64" t="str">
        <x:v>Urgency</x:v>
      </x:c>
      <x:c r="Q4" s="64" t="str">
        <x:v>Role</x:v>
      </x:c>
      <x:c r="R4" s="64" t="str">
        <x:v>Availability</x:v>
      </x:c>
      <x:c r="S4" s="64" t="str">
        <x:v>Schedule</x:v>
      </x:c>
      <x:c r="T4" s="64" t="str">
        <x:v>Splits</x:v>
      </x:c>
      <x:c r="U4" s="64" t="str">
        <x:v>War Score</x:v>
      </x:c>
      <x:c r="V4" s="64" t="str">
        <x:v>Draft Status</x:v>
      </x:c>
      <x:c r="W4" s="64" t="str">
        <x:v>Source URL</x:v>
      </x:c>
    </x:row>
    <x:row r="5">
      <x:c r="A5" s="28" t="n">
        <x:v>1</x:v>
      </x:c>
      <x:c r="B5" s="28" t="str">
        <x:v>Bijan Robinson</x:v>
      </x:c>
      <x:c r="C5" s="28" t="str">
        <x:v>RB</x:v>
      </x:c>
      <x:c r="D5" s="28" t="str">
        <x:v>ATL</x:v>
      </x:c>
      <x:c r="E5" s="81" t="n">
        <x:v>11</x:v>
      </x:c>
      <x:c r="F5" s="82" t="n">
        <x:v>1.7</x:v>
      </x:c>
      <x:c r="G5" s="82" t="n">
        <x:v>1</x:v>
      </x:c>
      <x:c r="H5" s="82" t="n">
        <x:v>4</x:v>
      </x:c>
      <x:c r="I5" s="82" t="n">
        <x:v>0.7</x:v>
      </x:c>
      <x:c r="J5" s="81" t="n">
        <x:v>1119</x:v>
      </x:c>
      <x:c r="K5" s="81" t="n">
        <x:v>1</x:v>
      </x:c>
      <x:c r="L5" s="83" t="n">
        <x:f>MAX(0,MIN(100,100-((F5-1)/(MAX($F$5:$F$265)-1))*100))</x:f>
        <x:v>99.63021658742737</x:v>
      </x:c>
      <x:c r="M5" s="83" t="n">
        <x:f>MAX(0,MIN(100,50+(('Sources &amp; Model'!$B$4-F5)/('Sources &amp; Model'!$B$6*2.5))*45))</x:f>
        <x:v>48.74</x:v>
      </x:c>
      <x:c r="N5" s="83" t="n">
        <x:f>IF(V5="Mine",0,IF(OR(C5="RB",C5="WR"),MAX(30,62-COUNTIFS($C$5:$C$265,C5,$V$5:$V$265,"Mine")*5),IF(OR(C5="D/ST",C5="K"),IF('Sources &amp; Model'!$B$4&gt;='Sources &amp; Model'!$B$6*('Sources &amp; Model'!$B$8-2),62,12),IF(COUNTIFS($C$5:$C$265,C5,$V$5:$V$265,"Mine")=0,82,38))))</x:f>
        <x:v>62</x:v>
      </x:c>
      <x:c r="O5" s="65" t="n">
        <x:v>100</x:v>
      </x:c>
      <x:c r="P5" s="83" t="n">
        <x:f>MAX(0,MIN(100,100/(1+EXP(-(('Sources &amp; Model'!$B$5-F5)/MAX(2.5,I5))))))</x:f>
        <x:v>43.045377606077096</x:v>
      </x:c>
      <x:c r="Q5" s="65" t="n">
        <x:v>90</x:v>
      </x:c>
      <x:c r="R5" s="65" t="n">
        <x:v>92</x:v>
      </x:c>
      <x:c r="S5" s="65" t="n">
        <x:v>42.1</x:v>
      </x:c>
      <x:c r="T5" s="65" t="n">
        <x:v>49.5</x:v>
      </x:c>
      <x:c r="U5" s="84" t="n">
        <x:f>IF(V5&lt;&gt;"Available","",(L5*'Sources &amp; Model'!$B$13+M5*'Sources &amp; Model'!$B$14+N5*'Sources &amp; Model'!$B$15+O5*'Sources &amp; Model'!$B$16+P5*'Sources &amp; Model'!$B$17+Q5*'Sources &amp; Model'!$B$18+R5*'Sources &amp; Model'!$B$19+S5*'Sources &amp; Model'!$B$20+T5*'Sources &amp; Model'!$B$21)/SUM('Sources &amp; Model'!$B$13:$B$21))</x:f>
        <x:v>77.69421140033302</x:v>
      </x:c>
      <x:c r="V5" s="5" t="str">
        <x:v>Available</x:v>
      </x:c>
      <x:c r="W5" t="str">
        <x:v>https://help.fantasyfootballcalculator.com/article/42-adp-rest-api</x:v>
      </x:c>
    </x:row>
    <x:row r="6">
      <x:c r="A6" s="28" t="n">
        <x:v>2</x:v>
      </x:c>
      <x:c r="B6" s="28" t="str">
        <x:v>Jahmyr Gibbs</x:v>
      </x:c>
      <x:c r="C6" s="28" t="str">
        <x:v>RB</x:v>
      </x:c>
      <x:c r="D6" s="28" t="str">
        <x:v>DET</x:v>
      </x:c>
      <x:c r="E6" s="81" t="n">
        <x:v>6</x:v>
      </x:c>
      <x:c r="F6" s="82" t="n">
        <x:v>1.8</x:v>
      </x:c>
      <x:c r="G6" s="82" t="n">
        <x:v>1</x:v>
      </x:c>
      <x:c r="H6" s="82" t="n">
        <x:v>4</x:v>
      </x:c>
      <x:c r="I6" s="82" t="n">
        <x:v>0.8</x:v>
      </x:c>
      <x:c r="J6" s="81" t="n">
        <x:v>1296</x:v>
      </x:c>
      <x:c r="K6" s="81" t="n">
        <x:v>1</x:v>
      </x:c>
      <x:c r="L6" s="83" t="n">
        <x:f>MAX(0,MIN(100,100-((F6-1)/(MAX($F$5:$F$265)-1))*100))</x:f>
        <x:v>99.57739038563128</x:v>
      </x:c>
      <x:c r="M6" s="83" t="n">
        <x:f>MAX(0,MIN(100,50+(('Sources &amp; Model'!$B$4-F6)/('Sources &amp; Model'!$B$6*2.5))*45))</x:f>
        <x:v>48.56</x:v>
      </x:c>
      <x:c r="N6" s="83" t="n">
        <x:f>IF(V6="Mine",0,IF(OR(C6="RB",C6="WR"),MAX(30,62-COUNTIFS($C$5:$C$265,C6,$V$5:$V$265,"Mine")*5),IF(OR(C6="D/ST",C6="K"),IF('Sources &amp; Model'!$B$4&gt;='Sources &amp; Model'!$B$6*('Sources &amp; Model'!$B$8-2),62,12),IF(COUNTIFS($C$5:$C$265,C6,$V$5:$V$265,"Mine")=0,82,38))))</x:f>
        <x:v>62</x:v>
      </x:c>
      <x:c r="O6" s="65" t="n">
        <x:v>100</x:v>
      </x:c>
      <x:c r="P6" s="83" t="n">
        <x:f>MAX(0,MIN(100,100/(1+EXP(-(('Sources &amp; Model'!$B$5-F6)/MAX(2.5,I6))))))</x:f>
        <x:v>42.06757478512505</x:v>
      </x:c>
      <x:c r="Q6" s="65" t="n">
        <x:v>90</x:v>
      </x:c>
      <x:c r="R6" s="65" t="n">
        <x:v>92</x:v>
      </x:c>
      <x:c r="S6" s="65" t="n">
        <x:v>45.2</x:v>
      </x:c>
      <x:c r="T6" s="65" t="n">
        <x:v>50</x:v>
      </x:c>
      <x:c r="U6" s="84" t="n">
        <x:f>IF(V6&lt;&gt;"Available","",(L6*'Sources &amp; Model'!$B$13+M6*'Sources &amp; Model'!$B$14+N6*'Sources &amp; Model'!$B$15+O6*'Sources &amp; Model'!$B$16+P6*'Sources &amp; Model'!$B$17+Q6*'Sources &amp; Model'!$B$18+R6*'Sources &amp; Model'!$B$19+S6*'Sources &amp; Model'!$B$20+T6*'Sources &amp; Model'!$B$21)/SUM('Sources &amp; Model'!$B$13:$B$21))</x:f>
        <x:v>77.61667020962715</x:v>
      </x:c>
      <x:c r="V6" s="5" t="str">
        <x:v>Available</x:v>
      </x:c>
      <x:c r="W6" t="str">
        <x:v>https://help.fantasyfootballcalculator.com/article/42-adp-rest-api</x:v>
      </x:c>
    </x:row>
    <x:row r="7">
      <x:c r="A7" s="28" t="n">
        <x:v>3</x:v>
      </x:c>
      <x:c r="B7" s="28" t="str">
        <x:v>Puka Nacua</x:v>
      </x:c>
      <x:c r="C7" s="28" t="str">
        <x:v>WR</x:v>
      </x:c>
      <x:c r="D7" s="28" t="str">
        <x:v>LAR</x:v>
      </x:c>
      <x:c r="E7" s="81" t="n">
        <x:v>11</x:v>
      </x:c>
      <x:c r="F7" s="82" t="n">
        <x:v>3.1</x:v>
      </x:c>
      <x:c r="G7" s="82" t="n">
        <x:v>1</x:v>
      </x:c>
      <x:c r="H7" s="82" t="n">
        <x:v>5</x:v>
      </x:c>
      <x:c r="I7" s="82" t="n">
        <x:v>0.7</x:v>
      </x:c>
      <x:c r="J7" s="81" t="n">
        <x:v>249</x:v>
      </x:c>
      <x:c r="K7" s="81" t="n">
        <x:v>1</x:v>
      </x:c>
      <x:c r="L7" s="83" t="n">
        <x:f>MAX(0,MIN(100,100-((F7-1)/(MAX($F$5:$F$265)-1))*100))</x:f>
        <x:v>98.8906497622821</x:v>
      </x:c>
      <x:c r="M7" s="83" t="n">
        <x:f>MAX(0,MIN(100,50+(('Sources &amp; Model'!$B$4-F7)/('Sources &amp; Model'!$B$6*2.5))*45))</x:f>
        <x:v>46.22</x:v>
      </x:c>
      <x:c r="N7" s="83" t="n">
        <x:f>IF(V7="Mine",0,IF(OR(C7="RB",C7="WR"),MAX(30,62-COUNTIFS($C$5:$C$265,C7,$V$5:$V$265,"Mine")*5),IF(OR(C7="D/ST",C7="K"),IF('Sources &amp; Model'!$B$4&gt;='Sources &amp; Model'!$B$6*('Sources &amp; Model'!$B$8-2),62,12),IF(COUNTIFS($C$5:$C$265,C7,$V$5:$V$265,"Mine")=0,82,38))))</x:f>
        <x:v>62</x:v>
      </x:c>
      <x:c r="O7" s="65" t="n">
        <x:v>100</x:v>
      </x:c>
      <x:c r="P7" s="83" t="n">
        <x:f>MAX(0,MIN(100,100/(1+EXP(-(('Sources &amp; Model'!$B$5-F7)/MAX(2.5,I7))))))</x:f>
        <x:v>30.15347839974612</x:v>
      </x:c>
      <x:c r="Q7" s="65" t="n">
        <x:v>90</x:v>
      </x:c>
      <x:c r="R7" s="65" t="n">
        <x:v>52</x:v>
      </x:c>
      <x:c r="S7" s="65" t="n">
        <x:v>45.2</x:v>
      </x:c>
      <x:c r="T7" s="65" t="n">
        <x:v>50.1</x:v>
      </x:c>
      <x:c r="U7" s="84" t="n">
        <x:f>IF(V7&lt;&gt;"Available","",(L7*'Sources &amp; Model'!$B$13+M7*'Sources &amp; Model'!$B$14+N7*'Sources &amp; Model'!$B$15+O7*'Sources &amp; Model'!$B$16+P7*'Sources &amp; Model'!$B$17+Q7*'Sources &amp; Model'!$B$18+R7*'Sources &amp; Model'!$B$19+S7*'Sources &amp; Model'!$B$20+T7*'Sources &amp; Model'!$B$21)/SUM('Sources &amp; Model'!$B$13:$B$21))</x:f>
        <x:v>74.21836875915052</x:v>
      </x:c>
      <x:c r="V7" s="5" t="str">
        <x:v>Available</x:v>
      </x:c>
      <x:c r="W7" t="str">
        <x:v>https://help.fantasyfootballcalculator.com/article/42-adp-rest-api</x:v>
      </x:c>
    </x:row>
    <x:row r="8">
      <x:c r="A8" s="28" t="n">
        <x:v>4</x:v>
      </x:c>
      <x:c r="B8" s="28" t="str">
        <x:v>Ja'Marr Chase</x:v>
      </x:c>
      <x:c r="C8" s="28" t="str">
        <x:v>WR</x:v>
      </x:c>
      <x:c r="D8" s="28" t="str">
        <x:v>CIN</x:v>
      </x:c>
      <x:c r="E8" s="81" t="n">
        <x:v>6</x:v>
      </x:c>
      <x:c r="F8" s="82" t="n">
        <x:v>3.9</x:v>
      </x:c>
      <x:c r="G8" s="82" t="n">
        <x:v>1</x:v>
      </x:c>
      <x:c r="H8" s="82" t="n">
        <x:v>8</x:v>
      </x:c>
      <x:c r="I8" s="82" t="n">
        <x:v>1</x:v>
      </x:c>
      <x:c r="J8" s="81" t="n">
        <x:v>1492</x:v>
      </x:c>
      <x:c r="K8" s="81" t="n">
        <x:v>1</x:v>
      </x:c>
      <x:c r="L8" s="83" t="n">
        <x:f>MAX(0,MIN(100,100-((F8-1)/(MAX($F$5:$F$265)-1))*100))</x:f>
        <x:v>98.46804014791337</x:v>
      </x:c>
      <x:c r="M8" s="83" t="n">
        <x:f>MAX(0,MIN(100,50+(('Sources &amp; Model'!$B$4-F8)/('Sources &amp; Model'!$B$6*2.5))*45))</x:f>
        <x:v>44.78</x:v>
      </x:c>
      <x:c r="N8" s="83" t="n">
        <x:f>IF(V8="Mine",0,IF(OR(C8="RB",C8="WR"),MAX(30,62-COUNTIFS($C$5:$C$265,C8,$V$5:$V$265,"Mine")*5),IF(OR(C8="D/ST",C8="K"),IF('Sources &amp; Model'!$B$4&gt;='Sources &amp; Model'!$B$6*('Sources &amp; Model'!$B$8-2),62,12),IF(COUNTIFS($C$5:$C$265,C8,$V$5:$V$265,"Mine")=0,82,38))))</x:f>
        <x:v>62</x:v>
      </x:c>
      <x:c r="O8" s="65" t="n">
        <x:v>100</x:v>
      </x:c>
      <x:c r="P8" s="83" t="n">
        <x:f>MAX(0,MIN(100,100/(1+EXP(-(('Sources &amp; Model'!$B$5-F8)/MAX(2.5,I8))))))</x:f>
        <x:v>23.86672851570896</x:v>
      </x:c>
      <x:c r="Q8" s="65" t="n">
        <x:v>90</x:v>
      </x:c>
      <x:c r="R8" s="65" t="n">
        <x:v>92</x:v>
      </x:c>
      <x:c r="S8" s="65" t="n">
        <x:v>40.2</x:v>
      </x:c>
      <x:c r="T8" s="65" t="n">
        <x:v>50.1</x:v>
      </x:c>
      <x:c r="U8" s="84" t="n">
        <x:f>IF(V8&lt;&gt;"Available","",(L8*'Sources &amp; Model'!$B$13+M8*'Sources &amp; Model'!$B$14+N8*'Sources &amp; Model'!$B$15+O8*'Sources &amp; Model'!$B$16+P8*'Sources &amp; Model'!$B$17+Q8*'Sources &amp; Model'!$B$18+R8*'Sources &amp; Model'!$B$19+S8*'Sources &amp; Model'!$B$20+T8*'Sources &amp; Model'!$B$21)/SUM('Sources &amp; Model'!$B$13:$B$21))</x:f>
        <x:v>74.71560650186144</x:v>
      </x:c>
      <x:c r="V8" s="5" t="str">
        <x:v>Available</x:v>
      </x:c>
      <x:c r="W8" t="str">
        <x:v>https://help.fantasyfootballcalculator.com/article/42-adp-rest-api</x:v>
      </x:c>
    </x:row>
    <x:row r="9">
      <x:c r="A9" s="28" t="n">
        <x:v>5</x:v>
      </x:c>
      <x:c r="B9" s="28" t="str">
        <x:v>Jaxon Smith-Njigba</x:v>
      </x:c>
      <x:c r="C9" s="28" t="str">
        <x:v>WR</x:v>
      </x:c>
      <x:c r="D9" s="28" t="str">
        <x:v>SEA</x:v>
      </x:c>
      <x:c r="E9" s="81" t="n">
        <x:v>11</x:v>
      </x:c>
      <x:c r="F9" s="82" t="n">
        <x:v>5.4</x:v>
      </x:c>
      <x:c r="G9" s="82" t="n">
        <x:v>2</x:v>
      </x:c>
      <x:c r="H9" s="82" t="n">
        <x:v>9</x:v>
      </x:c>
      <x:c r="I9" s="82" t="n">
        <x:v>1.1</x:v>
      </x:c>
      <x:c r="J9" s="81" t="n">
        <x:v>777</x:v>
      </x:c>
      <x:c r="K9" s="81" t="n">
        <x:v>1</x:v>
      </x:c>
      <x:c r="L9" s="83" t="n">
        <x:f>MAX(0,MIN(100,100-((F9-1)/(MAX($F$5:$F$265)-1))*100))</x:f>
        <x:v>97.675647120972</x:v>
      </x:c>
      <x:c r="M9" s="83" t="n">
        <x:f>MAX(0,MIN(100,50+(('Sources &amp; Model'!$B$4-F9)/('Sources &amp; Model'!$B$6*2.5))*45))</x:f>
        <x:v>42.08</x:v>
      </x:c>
      <x:c r="N9" s="83" t="n">
        <x:f>IF(V9="Mine",0,IF(OR(C9="RB",C9="WR"),MAX(30,62-COUNTIFS($C$5:$C$265,C9,$V$5:$V$265,"Mine")*5),IF(OR(C9="D/ST",C9="K"),IF('Sources &amp; Model'!$B$4&gt;='Sources &amp; Model'!$B$6*('Sources &amp; Model'!$B$8-2),62,12),IF(COUNTIFS($C$5:$C$265,C9,$V$5:$V$265,"Mine")=0,82,38))))</x:f>
        <x:v>62</x:v>
      </x:c>
      <x:c r="O9" s="65" t="n">
        <x:v>100</x:v>
      </x:c>
      <x:c r="P9" s="83" t="n">
        <x:f>MAX(0,MIN(100,100/(1+EXP(-(('Sources &amp; Model'!$B$5-F9)/MAX(2.5,I9))))))</x:f>
        <x:v>14.679033980138236</x:v>
      </x:c>
      <x:c r="Q9" s="65" t="n">
        <x:v>90</x:v>
      </x:c>
      <x:c r="R9" s="65" t="n">
        <x:v>92</x:v>
      </x:c>
      <x:c r="S9" s="65" t="n">
        <x:v>33.4</x:v>
      </x:c>
      <x:c r="T9" s="65" t="n">
        <x:v>50.5</x:v>
      </x:c>
      <x:c r="U9" s="84" t="n">
        <x:f>IF(V9&lt;&gt;"Available","",(L9*'Sources &amp; Model'!$B$13+M9*'Sources &amp; Model'!$B$14+N9*'Sources &amp; Model'!$B$15+O9*'Sources &amp; Model'!$B$16+P9*'Sources &amp; Model'!$B$17+Q9*'Sources &amp; Model'!$B$18+R9*'Sources &amp; Model'!$B$19+S9*'Sources &amp; Model'!$B$20+T9*'Sources &amp; Model'!$B$21)/SUM('Sources &amp; Model'!$B$13:$B$21))</x:f>
        <x:v>72.9634234191443</x:v>
      </x:c>
      <x:c r="V9" s="5" t="str">
        <x:v>Available</x:v>
      </x:c>
      <x:c r="W9" t="str">
        <x:v>https://help.fantasyfootballcalculator.com/article/42-adp-rest-api</x:v>
      </x:c>
    </x:row>
    <x:row r="10">
      <x:c r="A10" s="28" t="n">
        <x:v>6</x:v>
      </x:c>
      <x:c r="B10" s="28" t="str">
        <x:v>Christian McCaffrey</x:v>
      </x:c>
      <x:c r="C10" s="28" t="str">
        <x:v>RB</x:v>
      </x:c>
      <x:c r="D10" s="28" t="str">
        <x:v>SF</x:v>
      </x:c>
      <x:c r="E10" s="81" t="n">
        <x:v>8</x:v>
      </x:c>
      <x:c r="F10" s="82" t="n">
        <x:v>6.3</x:v>
      </x:c>
      <x:c r="G10" s="82" t="n">
        <x:v>2</x:v>
      </x:c>
      <x:c r="H10" s="82" t="n">
        <x:v>13</x:v>
      </x:c>
      <x:c r="I10" s="82" t="n">
        <x:v>1.6</x:v>
      </x:c>
      <x:c r="J10" s="81" t="n">
        <x:v>1162</x:v>
      </x:c>
      <x:c r="K10" s="81" t="n">
        <x:v>1</x:v>
      </x:c>
      <x:c r="L10" s="83" t="n">
        <x:f>MAX(0,MIN(100,100-((F10-1)/(MAX($F$5:$F$265)-1))*100))</x:f>
        <x:v>97.20021130480718</x:v>
      </x:c>
      <x:c r="M10" s="83" t="n">
        <x:f>MAX(0,MIN(100,50+(('Sources &amp; Model'!$B$4-F10)/('Sources &amp; Model'!$B$6*2.5))*45))</x:f>
        <x:v>40.46</x:v>
      </x:c>
      <x:c r="N10" s="83" t="n">
        <x:f>IF(V10="Mine",0,IF(OR(C10="RB",C10="WR"),MAX(30,62-COUNTIFS($C$5:$C$265,C10,$V$5:$V$265,"Mine")*5),IF(OR(C10="D/ST",C10="K"),IF('Sources &amp; Model'!$B$4&gt;='Sources &amp; Model'!$B$6*('Sources &amp; Model'!$B$8-2),62,12),IF(COUNTIFS($C$5:$C$265,C10,$V$5:$V$265,"Mine")=0,82,38))))</x:f>
        <x:v>62</x:v>
      </x:c>
      <x:c r="O10" s="65" t="n">
        <x:v>100</x:v>
      </x:c>
      <x:c r="P10" s="83" t="n">
        <x:f>MAX(0,MIN(100,100/(1+EXP(-(('Sources &amp; Model'!$B$5-F10)/MAX(2.5,I10))))))</x:f>
        <x:v>10.716807048652816</x:v>
      </x:c>
      <x:c r="Q10" s="65" t="n">
        <x:v>90</x:v>
      </x:c>
      <x:c r="R10" s="65" t="n">
        <x:v>52</x:v>
      </x:c>
      <x:c r="S10" s="65" t="n">
        <x:v>39.3</x:v>
      </x:c>
      <x:c r="T10" s="65" t="n">
        <x:v>49.6</x:v>
      </x:c>
      <x:c r="U10" s="84" t="n">
        <x:f>IF(V10&lt;&gt;"Available","",(L10*'Sources &amp; Model'!$B$13+M10*'Sources &amp; Model'!$B$14+N10*'Sources &amp; Model'!$B$15+O10*'Sources &amp; Model'!$B$16+P10*'Sources &amp; Model'!$B$17+Q10*'Sources &amp; Model'!$B$18+R10*'Sources &amp; Model'!$B$19+S10*'Sources &amp; Model'!$B$20+T10*'Sources &amp; Model'!$B$21)/SUM('Sources &amp; Model'!$B$13:$B$21))</x:f>
        <x:v>70.65535254849974</x:v>
      </x:c>
      <x:c r="V10" s="5" t="str">
        <x:v>Available</x:v>
      </x:c>
      <x:c r="W10" t="str">
        <x:v>https://help.fantasyfootballcalculator.com/article/42-adp-rest-api</x:v>
      </x:c>
    </x:row>
    <x:row r="11">
      <x:c r="A11" s="28" t="n">
        <x:v>7</x:v>
      </x:c>
      <x:c r="B11" s="28" t="str">
        <x:v>Amon-Ra St. Brown</x:v>
      </x:c>
      <x:c r="C11" s="28" t="str">
        <x:v>WR</x:v>
      </x:c>
      <x:c r="D11" s="28" t="str">
        <x:v>DET</x:v>
      </x:c>
      <x:c r="E11" s="81" t="n">
        <x:v>6</x:v>
      </x:c>
      <x:c r="F11" s="82" t="n">
        <x:v>6.7</x:v>
      </x:c>
      <x:c r="G11" s="82" t="n">
        <x:v>3</x:v>
      </x:c>
      <x:c r="H11" s="82" t="n">
        <x:v>11</x:v>
      </x:c>
      <x:c r="I11" s="82" t="n">
        <x:v>1.4</x:v>
      </x:c>
      <x:c r="J11" s="81" t="n">
        <x:v>925</x:v>
      </x:c>
      <x:c r="K11" s="81" t="n">
        <x:v>1</x:v>
      </x:c>
      <x:c r="L11" s="83" t="n">
        <x:f>MAX(0,MIN(100,100-((F11-1)/(MAX($F$5:$F$265)-1))*100))</x:f>
        <x:v>96.98890649762282</x:v>
      </x:c>
      <x:c r="M11" s="83" t="n">
        <x:f>MAX(0,MIN(100,50+(('Sources &amp; Model'!$B$4-F11)/('Sources &amp; Model'!$B$6*2.5))*45))</x:f>
        <x:v>39.74</x:v>
      </x:c>
      <x:c r="N11" s="83" t="n">
        <x:f>IF(V11="Mine",0,IF(OR(C11="RB",C11="WR"),MAX(30,62-COUNTIFS($C$5:$C$265,C11,$V$5:$V$265,"Mine")*5),IF(OR(C11="D/ST",C11="K"),IF('Sources &amp; Model'!$B$4&gt;='Sources &amp; Model'!$B$6*('Sources &amp; Model'!$B$8-2),62,12),IF(COUNTIFS($C$5:$C$265,C11,$V$5:$V$265,"Mine")=0,82,38))))</x:f>
        <x:v>62</x:v>
      </x:c>
      <x:c r="O11" s="65" t="n">
        <x:v>100</x:v>
      </x:c>
      <x:c r="P11" s="83" t="n">
        <x:f>MAX(0,MIN(100,100/(1+EXP(-(('Sources &amp; Model'!$B$5-F11)/MAX(2.5,I11))))))</x:f>
        <x:v>9.279295311715698</x:v>
      </x:c>
      <x:c r="Q11" s="65" t="n">
        <x:v>90</x:v>
      </x:c>
      <x:c r="R11" s="65" t="n">
        <x:v>92</x:v>
      </x:c>
      <x:c r="S11" s="65" t="n">
        <x:v>45.2</x:v>
      </x:c>
      <x:c r="T11" s="65" t="n">
        <x:v>50.2</x:v>
      </x:c>
      <x:c r="U11" s="84" t="n">
        <x:f>IF(V11&lt;&gt;"Available","",(L11*'Sources &amp; Model'!$B$13+M11*'Sources &amp; Model'!$B$14+N11*'Sources &amp; Model'!$B$15+O11*'Sources &amp; Model'!$B$16+P11*'Sources &amp; Model'!$B$17+Q11*'Sources &amp; Model'!$B$18+R11*'Sources &amp; Model'!$B$19+S11*'Sources &amp; Model'!$B$20+T11*'Sources &amp; Model'!$B$21)/SUM('Sources &amp; Model'!$B$13:$B$21))</x:f>
        <x:v>72.04855774036332</x:v>
      </x:c>
      <x:c r="V11" s="5" t="str">
        <x:v>Available</x:v>
      </x:c>
      <x:c r="W11" t="str">
        <x:v>https://help.fantasyfootballcalculator.com/article/42-adp-rest-api</x:v>
      </x:c>
    </x:row>
    <x:row r="12">
      <x:c r="A12" s="28" t="n">
        <x:v>8</x:v>
      </x:c>
      <x:c r="B12" s="28" t="str">
        <x:v>Jonathan Taylor</x:v>
      </x:c>
      <x:c r="C12" s="28" t="str">
        <x:v>RB</x:v>
      </x:c>
      <x:c r="D12" s="28" t="str">
        <x:v>IND</x:v>
      </x:c>
      <x:c r="E12" s="81" t="n">
        <x:v>13</x:v>
      </x:c>
      <x:c r="F12" s="82" t="n">
        <x:v>7.4</x:v>
      </x:c>
      <x:c r="G12" s="82" t="n">
        <x:v>2</x:v>
      </x:c>
      <x:c r="H12" s="82" t="n">
        <x:v>12</x:v>
      </x:c>
      <x:c r="I12" s="82" t="n">
        <x:v>1.7</x:v>
      </x:c>
      <x:c r="J12" s="81" t="n">
        <x:v>1296</x:v>
      </x:c>
      <x:c r="K12" s="81" t="n">
        <x:v>1</x:v>
      </x:c>
      <x:c r="L12" s="83" t="n">
        <x:f>MAX(0,MIN(100,100-((F12-1)/(MAX($F$5:$F$265)-1))*100))</x:f>
        <x:v>96.61912308505019</x:v>
      </x:c>
      <x:c r="M12" s="83" t="n">
        <x:f>MAX(0,MIN(100,50+(('Sources &amp; Model'!$B$4-F12)/('Sources &amp; Model'!$B$6*2.5))*45))</x:f>
        <x:v>38.480000000000004</x:v>
      </x:c>
      <x:c r="N12" s="83" t="n">
        <x:f>IF(V12="Mine",0,IF(OR(C12="RB",C12="WR"),MAX(30,62-COUNTIFS($C$5:$C$265,C12,$V$5:$V$265,"Mine")*5),IF(OR(C12="D/ST",C12="K"),IF('Sources &amp; Model'!$B$4&gt;='Sources &amp; Model'!$B$6*('Sources &amp; Model'!$B$8-2),62,12),IF(COUNTIFS($C$5:$C$265,C12,$V$5:$V$265,"Mine")=0,82,38))))</x:f>
        <x:v>62</x:v>
      </x:c>
      <x:c r="O12" s="65" t="n">
        <x:v>100</x:v>
      </x:c>
      <x:c r="P12" s="83" t="n">
        <x:f>MAX(0,MIN(100,100/(1+EXP(-(('Sources &amp; Model'!$B$5-F12)/MAX(2.5,I12))))))</x:f>
        <x:v>7.175754226375134</x:v>
      </x:c>
      <x:c r="Q12" s="65" t="n">
        <x:v>90</x:v>
      </x:c>
      <x:c r="R12" s="65" t="n">
        <x:v>92</x:v>
      </x:c>
      <x:c r="S12" s="65" t="n">
        <x:v>44.6</x:v>
      </x:c>
      <x:c r="T12" s="65" t="n">
        <x:v>48.7</x:v>
      </x:c>
      <x:c r="U12" s="84" t="n">
        <x:f>IF(V12&lt;&gt;"Available","",(L12*'Sources &amp; Model'!$B$13+M12*'Sources &amp; Model'!$B$14+N12*'Sources &amp; Model'!$B$15+O12*'Sources &amp; Model'!$B$16+P12*'Sources &amp; Model'!$B$17+Q12*'Sources &amp; Model'!$B$18+R12*'Sources &amp; Model'!$B$19+S12*'Sources &amp; Model'!$B$20+T12*'Sources &amp; Model'!$B$21)/SUM('Sources &amp; Model'!$B$13:$B$21))</x:f>
        <x:v>71.48387727155458</x:v>
      </x:c>
      <x:c r="V12" s="5" t="str">
        <x:v>Available</x:v>
      </x:c>
      <x:c r="W12" t="str">
        <x:v>https://help.fantasyfootballcalculator.com/article/42-adp-rest-api</x:v>
      </x:c>
    </x:row>
    <x:row r="13">
      <x:c r="A13" s="28" t="n">
        <x:v>9</x:v>
      </x:c>
      <x:c r="B13" s="28" t="str">
        <x:v>Drake London</x:v>
      </x:c>
      <x:c r="C13" s="28" t="str">
        <x:v>WR</x:v>
      </x:c>
      <x:c r="D13" s="28" t="str">
        <x:v>ATL</x:v>
      </x:c>
      <x:c r="E13" s="81" t="n">
        <x:v>11</x:v>
      </x:c>
      <x:c r="F13" s="82" t="n">
        <x:v>10.2</x:v>
      </x:c>
      <x:c r="G13" s="82" t="n">
        <x:v>6</x:v>
      </x:c>
      <x:c r="H13" s="82" t="n">
        <x:v>16</x:v>
      </x:c>
      <x:c r="I13" s="82" t="n">
        <x:v>1.6</x:v>
      </x:c>
      <x:c r="J13" s="81" t="n">
        <x:v>230</x:v>
      </x:c>
      <x:c r="K13" s="81" t="n">
        <x:v>1</x:v>
      </x:c>
      <x:c r="L13" s="83" t="n">
        <x:f>MAX(0,MIN(100,100-((F13-1)/(MAX($F$5:$F$265)-1))*100))</x:f>
        <x:v>95.13998943475964</x:v>
      </x:c>
      <x:c r="M13" s="83" t="n">
        <x:f>MAX(0,MIN(100,50+(('Sources &amp; Model'!$B$4-F13)/('Sources &amp; Model'!$B$6*2.5))*45))</x:f>
        <x:v>33.44</x:v>
      </x:c>
      <x:c r="N13" s="83" t="n">
        <x:f>IF(V13="Mine",0,IF(OR(C13="RB",C13="WR"),MAX(30,62-COUNTIFS($C$5:$C$265,C13,$V$5:$V$265,"Mine")*5),IF(OR(C13="D/ST",C13="K"),IF('Sources &amp; Model'!$B$4&gt;='Sources &amp; Model'!$B$6*('Sources &amp; Model'!$B$8-2),62,12),IF(COUNTIFS($C$5:$C$265,C13,$V$5:$V$265,"Mine")=0,82,38))))</x:f>
        <x:v>62</x:v>
      </x:c>
      <x:c r="O13" s="65" t="n">
        <x:v>97</x:v>
      </x:c>
      <x:c r="P13" s="83" t="n">
        <x:f>MAX(0,MIN(100,100/(1+EXP(-(('Sources &amp; Model'!$B$5-F13)/MAX(2.5,I13))))))</x:f>
        <x:v>2.4602428402739447</x:v>
      </x:c>
      <x:c r="Q13" s="65" t="n">
        <x:v>90</x:v>
      </x:c>
      <x:c r="R13" s="65" t="n">
        <x:v>92</x:v>
      </x:c>
      <x:c r="S13" s="65" t="n">
        <x:v>42.1</x:v>
      </x:c>
      <x:c r="T13" s="65" t="n">
        <x:v>49.9</x:v>
      </x:c>
      <x:c r="U13" s="84" t="n">
        <x:f>IF(V13&lt;&gt;"Available","",(L13*'Sources &amp; Model'!$B$13+M13*'Sources &amp; Model'!$B$14+N13*'Sources &amp; Model'!$B$15+O13*'Sources &amp; Model'!$B$16+P13*'Sources &amp; Model'!$B$17+Q13*'Sources &amp; Model'!$B$18+R13*'Sources &amp; Model'!$B$19+S13*'Sources &amp; Model'!$B$20+T13*'Sources &amp; Model'!$B$21)/SUM('Sources &amp; Model'!$B$13:$B$21))</x:f>
        <x:v>69.30502069184567</x:v>
      </x:c>
      <x:c r="V13" s="5" t="str">
        <x:v>Available</x:v>
      </x:c>
      <x:c r="W13" t="str">
        <x:v>https://help.fantasyfootballcalculator.com/article/42-adp-rest-api</x:v>
      </x:c>
    </x:row>
    <x:row r="14">
      <x:c r="A14" s="28" t="n">
        <x:v>10</x:v>
      </x:c>
      <x:c r="B14" s="28" t="str">
        <x:v>De'Von Achane</x:v>
      </x:c>
      <x:c r="C14" s="28" t="str">
        <x:v>RB</x:v>
      </x:c>
      <x:c r="D14" s="28" t="str">
        <x:v>MIA</x:v>
      </x:c>
      <x:c r="E14" s="81" t="n">
        <x:v>6</x:v>
      </x:c>
      <x:c r="F14" s="82" t="n">
        <x:v>10.3</x:v>
      </x:c>
      <x:c r="G14" s="82" t="n">
        <x:v>5</x:v>
      </x:c>
      <x:c r="H14" s="82" t="n">
        <x:v>18</x:v>
      </x:c>
      <x:c r="I14" s="82" t="n">
        <x:v>1.9</x:v>
      </x:c>
      <x:c r="J14" s="81" t="n">
        <x:v>583</x:v>
      </x:c>
      <x:c r="K14" s="81" t="n">
        <x:v>1</x:v>
      </x:c>
      <x:c r="L14" s="83" t="n">
        <x:f>MAX(0,MIN(100,100-((F14-1)/(MAX($F$5:$F$265)-1))*100))</x:f>
        <x:v>95.08716323296355</x:v>
      </x:c>
      <x:c r="M14" s="83" t="n">
        <x:f>MAX(0,MIN(100,50+(('Sources &amp; Model'!$B$4-F14)/('Sources &amp; Model'!$B$6*2.5))*45))</x:f>
        <x:v>33.26</x:v>
      </x:c>
      <x:c r="N14" s="83" t="n">
        <x:f>IF(V14="Mine",0,IF(OR(C14="RB",C14="WR"),MAX(30,62-COUNTIFS($C$5:$C$265,C14,$V$5:$V$265,"Mine")*5),IF(OR(C14="D/ST",C14="K"),IF('Sources &amp; Model'!$B$4&gt;='Sources &amp; Model'!$B$6*('Sources &amp; Model'!$B$8-2),62,12),IF(COUNTIFS($C$5:$C$265,C14,$V$5:$V$265,"Mine")=0,82,38))))</x:f>
        <x:v>62</x:v>
      </x:c>
      <x:c r="O14" s="65" t="n">
        <x:v>95.9</x:v>
      </x:c>
      <x:c r="P14" s="83" t="n">
        <x:f>MAX(0,MIN(100,100/(1+EXP(-(('Sources &amp; Model'!$B$5-F14)/MAX(2.5,I14))))))</x:f>
        <x:v>2.3660578155461205</x:v>
      </x:c>
      <x:c r="Q14" s="65" t="n">
        <x:v>90</x:v>
      </x:c>
      <x:c r="R14" s="65" t="n">
        <x:v>92</x:v>
      </x:c>
      <x:c r="S14" s="65" t="n">
        <x:v>50.9</x:v>
      </x:c>
      <x:c r="T14" s="65" t="n">
        <x:v>50.5</x:v>
      </x:c>
      <x:c r="U14" s="84" t="n">
        <x:f>IF(V14&lt;&gt;"Available","",(L14*'Sources &amp; Model'!$B$13+M14*'Sources &amp; Model'!$B$14+N14*'Sources &amp; Model'!$B$15+O14*'Sources &amp; Model'!$B$16+P14*'Sources &amp; Model'!$B$17+Q14*'Sources &amp; Model'!$B$18+R14*'Sources &amp; Model'!$B$19+S14*'Sources &amp; Model'!$B$20+T14*'Sources &amp; Model'!$B$21)/SUM('Sources &amp; Model'!$B$13:$B$21))</x:f>
        <x:v>69.29884128076222</x:v>
      </x:c>
      <x:c r="V14" s="5" t="str">
        <x:v>Available</x:v>
      </x:c>
      <x:c r="W14" t="str">
        <x:v>https://help.fantasyfootballcalculator.com/article/42-adp-rest-api</x:v>
      </x:c>
    </x:row>
    <x:row r="15">
      <x:c r="A15" s="28" t="n">
        <x:v>11</x:v>
      </x:c>
      <x:c r="B15" s="28" t="str">
        <x:v>CeeDee Lamb</x:v>
      </x:c>
      <x:c r="C15" s="28" t="str">
        <x:v>WR</x:v>
      </x:c>
      <x:c r="D15" s="28" t="str">
        <x:v>DAL</x:v>
      </x:c>
      <x:c r="E15" s="81" t="n">
        <x:v>14</x:v>
      </x:c>
      <x:c r="F15" s="82" t="n">
        <x:v>10.9</x:v>
      </x:c>
      <x:c r="G15" s="82" t="n">
        <x:v>5</x:v>
      </x:c>
      <x:c r="H15" s="82" t="n">
        <x:v>21</x:v>
      </x:c>
      <x:c r="I15" s="82" t="n">
        <x:v>2</x:v>
      </x:c>
      <x:c r="J15" s="81" t="n">
        <x:v>971</x:v>
      </x:c>
      <x:c r="K15" s="81" t="n">
        <x:v>1</x:v>
      </x:c>
      <x:c r="L15" s="83" t="n">
        <x:f>MAX(0,MIN(100,100-((F15-1)/(MAX($F$5:$F$265)-1))*100))</x:f>
        <x:v>94.77020602218701</x:v>
      </x:c>
      <x:c r="M15" s="83" t="n">
        <x:f>MAX(0,MIN(100,50+(('Sources &amp; Model'!$B$4-F15)/('Sources &amp; Model'!$B$6*2.5))*45))</x:f>
        <x:v>32.18</x:v>
      </x:c>
      <x:c r="N15" s="83" t="n">
        <x:f>IF(V15="Mine",0,IF(OR(C15="RB",C15="WR"),MAX(30,62-COUNTIFS($C$5:$C$265,C15,$V$5:$V$265,"Mine")*5),IF(OR(C15="D/ST",C15="K"),IF('Sources &amp; Model'!$B$4&gt;='Sources &amp; Model'!$B$6*('Sources &amp; Model'!$B$8-2),62,12),IF(COUNTIFS($C$5:$C$265,C15,$V$5:$V$265,"Mine")=0,82,38))))</x:f>
        <x:v>62</x:v>
      </x:c>
      <x:c r="O15" s="65" t="n">
        <x:v>93.1</x:v>
      </x:c>
      <x:c r="P15" s="83" t="n">
        <x:f>MAX(0,MIN(100,100/(1+EXP(-(('Sources &amp; Model'!$B$5-F15)/MAX(2.5,I15))))))</x:f>
        <x:v>1.8706509954354602</x:v>
      </x:c>
      <x:c r="Q15" s="65" t="n">
        <x:v>90</x:v>
      </x:c>
      <x:c r="R15" s="65" t="n">
        <x:v>92</x:v>
      </x:c>
      <x:c r="S15" s="65" t="n">
        <x:v>32.6</x:v>
      </x:c>
      <x:c r="T15" s="65" t="n">
        <x:v>49.7</x:v>
      </x:c>
      <x:c r="U15" s="84" t="n">
        <x:f>IF(V15&lt;&gt;"Available","",(L15*'Sources &amp; Model'!$B$13+M15*'Sources &amp; Model'!$B$14+N15*'Sources &amp; Model'!$B$15+O15*'Sources &amp; Model'!$B$16+P15*'Sources &amp; Model'!$B$17+Q15*'Sources &amp; Model'!$B$18+R15*'Sources &amp; Model'!$B$19+S15*'Sources &amp; Model'!$B$20+T15*'Sources &amp; Model'!$B$21)/SUM('Sources &amp; Model'!$B$13:$B$21))</x:f>
        <x:v>68.25873514708712</x:v>
      </x:c>
      <x:c r="V15" s="5" t="str">
        <x:v>Available</x:v>
      </x:c>
      <x:c r="W15" t="str">
        <x:v>https://help.fantasyfootballcalculator.com/article/42-adp-rest-api</x:v>
      </x:c>
    </x:row>
    <x:row r="16">
      <x:c r="A16" s="28" t="n">
        <x:v>12</x:v>
      </x:c>
      <x:c r="B16" s="28" t="str">
        <x:v>Chase Brown</x:v>
      </x:c>
      <x:c r="C16" s="28" t="str">
        <x:v>RB</x:v>
      </x:c>
      <x:c r="D16" s="28" t="str">
        <x:v>CIN</x:v>
      </x:c>
      <x:c r="E16" s="81" t="n">
        <x:v>6</x:v>
      </x:c>
      <x:c r="F16" s="82" t="n">
        <x:v>13.3</x:v>
      </x:c>
      <x:c r="G16" s="82" t="n">
        <x:v>6</x:v>
      </x:c>
      <x:c r="H16" s="82" t="n">
        <x:v>22</x:v>
      </x:c>
      <x:c r="I16" s="82" t="n">
        <x:v>2.8</x:v>
      </x:c>
      <x:c r="J16" s="81" t="n">
        <x:v>1341</x:v>
      </x:c>
      <x:c r="K16" s="81" t="n">
        <x:v>1</x:v>
      </x:c>
      <x:c r="L16" s="83" t="n">
        <x:f>MAX(0,MIN(100,100-((F16-1)/(MAX($F$5:$F$265)-1))*100))</x:f>
        <x:v>93.50237717908082</x:v>
      </x:c>
      <x:c r="M16" s="83" t="n">
        <x:f>MAX(0,MIN(100,50+(('Sources &amp; Model'!$B$4-F16)/('Sources &amp; Model'!$B$6*2.5))*45))</x:f>
        <x:v>27.86</x:v>
      </x:c>
      <x:c r="N16" s="83" t="n">
        <x:f>IF(V16="Mine",0,IF(OR(C16="RB",C16="WR"),MAX(30,62-COUNTIFS($C$5:$C$265,C16,$V$5:$V$265,"Mine")*5),IF(OR(C16="D/ST",C16="K"),IF('Sources &amp; Model'!$B$4&gt;='Sources &amp; Model'!$B$6*('Sources &amp; Model'!$B$8-2),62,12),IF(COUNTIFS($C$5:$C$265,C16,$V$5:$V$265,"Mine")=0,82,38))))</x:f>
        <x:v>62</x:v>
      </x:c>
      <x:c r="O16" s="65" t="n">
        <x:v>79.4</x:v>
      </x:c>
      <x:c r="P16" s="83" t="n">
        <x:f>MAX(0,MIN(100,100/(1+EXP(-(('Sources &amp; Model'!$B$5-F16)/MAX(2.5,I16))))))</x:f>
        <x:v>1.2214314864859361</x:v>
      </x:c>
      <x:c r="Q16" s="65" t="n">
        <x:v>90</x:v>
      </x:c>
      <x:c r="R16" s="65" t="n">
        <x:v>92</x:v>
      </x:c>
      <x:c r="S16" s="65" t="n">
        <x:v>40.2</x:v>
      </x:c>
      <x:c r="T16" s="65" t="n">
        <x:v>50.1</x:v>
      </x:c>
      <x:c r="U16" s="84" t="n">
        <x:f>IF(V16&lt;&gt;"Available","",(L16*'Sources &amp; Model'!$B$13+M16*'Sources &amp; Model'!$B$14+N16*'Sources &amp; Model'!$B$15+O16*'Sources &amp; Model'!$B$16+P16*'Sources &amp; Model'!$B$17+Q16*'Sources &amp; Model'!$B$18+R16*'Sources &amp; Model'!$B$19+S16*'Sources &amp; Model'!$B$20+T16*'Sources &amp; Model'!$B$21)/SUM('Sources &amp; Model'!$B$13:$B$21))</x:f>
        <x:v>65.58355138953608</x:v>
      </x:c>
      <x:c r="V16" s="5" t="str">
        <x:v>Available</x:v>
      </x:c>
      <x:c r="W16" t="str">
        <x:v>https://help.fantasyfootballcalculator.com/article/42-adp-rest-api</x:v>
      </x:c>
    </x:row>
    <x:row r="17">
      <x:c r="A17" s="28" t="n">
        <x:v>13</x:v>
      </x:c>
      <x:c r="B17" s="28" t="str">
        <x:v>James Cook</x:v>
      </x:c>
      <x:c r="C17" s="28" t="str">
        <x:v>RB</x:v>
      </x:c>
      <x:c r="D17" s="28" t="str">
        <x:v>BUF</x:v>
      </x:c>
      <x:c r="E17" s="81" t="n">
        <x:v>7</x:v>
      </x:c>
      <x:c r="F17" s="82" t="n">
        <x:v>13.3</x:v>
      </x:c>
      <x:c r="G17" s="82" t="n">
        <x:v>4</x:v>
      </x:c>
      <x:c r="H17" s="82" t="n">
        <x:v>23</x:v>
      </x:c>
      <x:c r="I17" s="82" t="n">
        <x:v>3.3</x:v>
      </x:c>
      <x:c r="J17" s="81" t="n">
        <x:v>1821</x:v>
      </x:c>
      <x:c r="K17" s="81" t="n">
        <x:v>1</x:v>
      </x:c>
      <x:c r="L17" s="83" t="n">
        <x:f>MAX(0,MIN(100,100-((F17-1)/(MAX($F$5:$F$265)-1))*100))</x:f>
        <x:v>93.50237717908082</x:v>
      </x:c>
      <x:c r="M17" s="83" t="n">
        <x:f>MAX(0,MIN(100,50+(('Sources &amp; Model'!$B$4-F17)/('Sources &amp; Model'!$B$6*2.5))*45))</x:f>
        <x:v>27.86</x:v>
      </x:c>
      <x:c r="N17" s="83" t="n">
        <x:f>IF(V17="Mine",0,IF(OR(C17="RB",C17="WR"),MAX(30,62-COUNTIFS($C$5:$C$265,C17,$V$5:$V$265,"Mine")*5),IF(OR(C17="D/ST",C17="K"),IF('Sources &amp; Model'!$B$4&gt;='Sources &amp; Model'!$B$6*('Sources &amp; Model'!$B$8-2),62,12),IF(COUNTIFS($C$5:$C$265,C17,$V$5:$V$265,"Mine")=0,82,38))))</x:f>
        <x:v>62</x:v>
      </x:c>
      <x:c r="O17" s="65" t="n">
        <x:v>79.4</x:v>
      </x:c>
      <x:c r="P17" s="83" t="n">
        <x:f>MAX(0,MIN(100,100/(1+EXP(-(('Sources &amp; Model'!$B$5-F17)/MAX(2.5,I17))))))</x:f>
        <x:v>2.3493153408405627</x:v>
      </x:c>
      <x:c r="Q17" s="65" t="n">
        <x:v>90</x:v>
      </x:c>
      <x:c r="R17" s="65" t="n">
        <x:v>92</x:v>
      </x:c>
      <x:c r="S17" s="65" t="n">
        <x:v>30.8</x:v>
      </x:c>
      <x:c r="T17" s="65" t="n">
        <x:v>50.5</x:v>
      </x:c>
      <x:c r="U17" s="84" t="n">
        <x:f>IF(V17&lt;&gt;"Available","",(L17*'Sources &amp; Model'!$B$13+M17*'Sources &amp; Model'!$B$14+N17*'Sources &amp; Model'!$B$15+O17*'Sources &amp; Model'!$B$16+P17*'Sources &amp; Model'!$B$17+Q17*'Sources &amp; Model'!$B$18+R17*'Sources &amp; Model'!$B$19+S17*'Sources &amp; Model'!$B$20+T17*'Sources &amp; Model'!$B$21)/SUM('Sources &amp; Model'!$B$13:$B$21))</x:f>
        <x:v>65.51233977497154</x:v>
      </x:c>
      <x:c r="V17" s="5" t="str">
        <x:v>Available</x:v>
      </x:c>
      <x:c r="W17" t="str">
        <x:v>https://help.fantasyfootballcalculator.com/article/42-adp-rest-api</x:v>
      </x:c>
    </x:row>
    <x:row r="18">
      <x:c r="A18" s="28" t="n">
        <x:v>14</x:v>
      </x:c>
      <x:c r="B18" s="28" t="str">
        <x:v>Justin Jefferson</x:v>
      </x:c>
      <x:c r="C18" s="28" t="str">
        <x:v>WR</x:v>
      </x:c>
      <x:c r="D18" s="28" t="str">
        <x:v>MIN</x:v>
      </x:c>
      <x:c r="E18" s="81" t="n">
        <x:v>6</x:v>
      </x:c>
      <x:c r="F18" s="82" t="n">
        <x:v>13.5</x:v>
      </x:c>
      <x:c r="G18" s="82" t="n">
        <x:v>5</x:v>
      </x:c>
      <x:c r="H18" s="82" t="n">
        <x:v>22</x:v>
      </x:c>
      <x:c r="I18" s="82" t="n">
        <x:v>3.1</x:v>
      </x:c>
      <x:c r="J18" s="81" t="n">
        <x:v>1143</x:v>
      </x:c>
      <x:c r="K18" s="81" t="n">
        <x:v>1</x:v>
      </x:c>
      <x:c r="L18" s="83" t="n">
        <x:f>MAX(0,MIN(100,100-((F18-1)/(MAX($F$5:$F$265)-1))*100))</x:f>
        <x:v>93.39672477548865</x:v>
      </x:c>
      <x:c r="M18" s="83" t="n">
        <x:f>MAX(0,MIN(100,50+(('Sources &amp; Model'!$B$4-F18)/('Sources &amp; Model'!$B$6*2.5))*45))</x:f>
        <x:v>27.5</x:v>
      </x:c>
      <x:c r="N18" s="83" t="n">
        <x:f>IF(V18="Mine",0,IF(OR(C18="RB",C18="WR"),MAX(30,62-COUNTIFS($C$5:$C$265,C18,$V$5:$V$265,"Mine")*5),IF(OR(C18="D/ST",C18="K"),IF('Sources &amp; Model'!$B$4&gt;='Sources &amp; Model'!$B$6*('Sources &amp; Model'!$B$8-2),62,12),IF(COUNTIFS($C$5:$C$265,C18,$V$5:$V$265,"Mine")=0,82,38))))</x:f>
        <x:v>62</x:v>
      </x:c>
      <x:c r="O18" s="65" t="n">
        <x:v>78.9</x:v>
      </x:c>
      <x:c r="P18" s="83" t="n">
        <x:f>MAX(0,MIN(100,100/(1+EXP(-(('Sources &amp; Model'!$B$5-F18)/MAX(2.5,I18))))))</x:f>
        <x:v>1.7425216681586095</x:v>
      </x:c>
      <x:c r="Q18" s="65" t="n">
        <x:v>90</x:v>
      </x:c>
      <x:c r="R18" s="65" t="n">
        <x:v>92</x:v>
      </x:c>
      <x:c r="S18" s="65" t="n">
        <x:v>53.6</x:v>
      </x:c>
      <x:c r="T18" s="65" t="n">
        <x:v>50.2</x:v>
      </x:c>
      <x:c r="U18" s="84" t="n">
        <x:f>IF(V18&lt;&gt;"Available","",(L18*'Sources &amp; Model'!$B$13+M18*'Sources &amp; Model'!$B$14+N18*'Sources &amp; Model'!$B$15+O18*'Sources &amp; Model'!$B$16+P18*'Sources &amp; Model'!$B$17+Q18*'Sources &amp; Model'!$B$18+R18*'Sources &amp; Model'!$B$19+S18*'Sources &amp; Model'!$B$20+T18*'Sources &amp; Model'!$B$21)/SUM('Sources &amp; Model'!$B$13:$B$21))</x:f>
        <x:v>65.751138590482</x:v>
      </x:c>
      <x:c r="V18" s="5" t="str">
        <x:v>Available</x:v>
      </x:c>
      <x:c r="W18" t="str">
        <x:v>https://help.fantasyfootballcalculator.com/article/42-adp-rest-api</x:v>
      </x:c>
    </x:row>
    <x:row r="19">
      <x:c r="A19" s="28" t="n">
        <x:v>15</x:v>
      </x:c>
      <x:c r="B19" s="28" t="str">
        <x:v>Rashee Rice</x:v>
      </x:c>
      <x:c r="C19" s="28" t="str">
        <x:v>WR</x:v>
      </x:c>
      <x:c r="D19" s="28" t="str">
        <x:v>KC</x:v>
      </x:c>
      <x:c r="E19" s="81" t="n">
        <x:v>5</x:v>
      </x:c>
      <x:c r="F19" s="82" t="n">
        <x:v>13.9</x:v>
      </x:c>
      <x:c r="G19" s="82" t="n">
        <x:v>7</x:v>
      </x:c>
      <x:c r="H19" s="82" t="n">
        <x:v>22</x:v>
      </x:c>
      <x:c r="I19" s="82" t="n">
        <x:v>2.5</x:v>
      </x:c>
      <x:c r="J19" s="81" t="n">
        <x:v>210</x:v>
      </x:c>
      <x:c r="K19" s="81" t="n">
        <x:v>1</x:v>
      </x:c>
      <x:c r="L19" s="83" t="n">
        <x:f>MAX(0,MIN(100,100-((F19-1)/(MAX($F$5:$F$265)-1))*100))</x:f>
        <x:v>93.18541996830427</x:v>
      </x:c>
      <x:c r="M19" s="83" t="n">
        <x:f>MAX(0,MIN(100,50+(('Sources &amp; Model'!$B$4-F19)/('Sources &amp; Model'!$B$6*2.5))*45))</x:f>
        <x:v>26.78</x:v>
      </x:c>
      <x:c r="N19" s="83" t="n">
        <x:f>IF(V19="Mine",0,IF(OR(C19="RB",C19="WR"),MAX(30,62-COUNTIFS($C$5:$C$265,C19,$V$5:$V$265,"Mine")*5),IF(OR(C19="D/ST",C19="K"),IF('Sources &amp; Model'!$B$4&gt;='Sources &amp; Model'!$B$6*('Sources &amp; Model'!$B$8-2),62,12),IF(COUNTIFS($C$5:$C$265,C19,$V$5:$V$265,"Mine")=0,82,38))))</x:f>
        <x:v>62</x:v>
      </x:c>
      <x:c r="O19" s="65" t="n">
        <x:v>76.6</x:v>
      </x:c>
      <x:c r="P19" s="83" t="n">
        <x:f>MAX(0,MIN(100,100/(1+EXP(-(('Sources &amp; Model'!$B$5-F19)/MAX(2.5,I19))))))</x:f>
        <x:v>0.5708920777023343</x:v>
      </x:c>
      <x:c r="Q19" s="65" t="n">
        <x:v>90</x:v>
      </x:c>
      <x:c r="R19" s="65" t="n">
        <x:v>92</x:v>
      </x:c>
      <x:c r="S19" s="65" t="n">
        <x:v>41.3</x:v>
      </x:c>
      <x:c r="T19" s="65" t="n">
        <x:v>49.9</x:v>
      </x:c>
      <x:c r="U19" s="84" t="n">
        <x:f>IF(V19&lt;&gt;"Available","",(L19*'Sources &amp; Model'!$B$13+M19*'Sources &amp; Model'!$B$14+N19*'Sources &amp; Model'!$B$15+O19*'Sources &amp; Model'!$B$16+P19*'Sources &amp; Model'!$B$17+Q19*'Sources &amp; Model'!$B$18+R19*'Sources &amp; Model'!$B$19+S19*'Sources &amp; Model'!$B$20+T19*'Sources &amp; Model'!$B$21)/SUM('Sources &amp; Model'!$B$13:$B$21))</x:f>
        <x:v>64.92193199699368</x:v>
      </x:c>
      <x:c r="V19" s="5" t="str">
        <x:v>Available</x:v>
      </x:c>
      <x:c r="W19" t="str">
        <x:v>https://help.fantasyfootballcalculator.com/article/42-adp-rest-api</x:v>
      </x:c>
    </x:row>
    <x:row r="20">
      <x:c r="A20" s="28" t="n">
        <x:v>16</x:v>
      </x:c>
      <x:c r="B20" s="28" t="str">
        <x:v>Ashton Jeanty</x:v>
      </x:c>
      <x:c r="C20" s="28" t="str">
        <x:v>RB</x:v>
      </x:c>
      <x:c r="D20" s="28" t="str">
        <x:v>LV</x:v>
      </x:c>
      <x:c r="E20" s="81" t="n">
        <x:v>13</x:v>
      </x:c>
      <x:c r="F20" s="82" t="n">
        <x:v>14.6</x:v>
      </x:c>
      <x:c r="G20" s="82" t="n">
        <x:v>6</x:v>
      </x:c>
      <x:c r="H20" s="82" t="n">
        <x:v>23</x:v>
      </x:c>
      <x:c r="I20" s="82" t="n">
        <x:v>3.1</x:v>
      </x:c>
      <x:c r="J20" s="81" t="n">
        <x:v>1003</x:v>
      </x:c>
      <x:c r="K20" s="81" t="n">
        <x:v>1</x:v>
      </x:c>
      <x:c r="L20" s="83" t="n">
        <x:f>MAX(0,MIN(100,100-((F20-1)/(MAX($F$5:$F$265)-1))*100))</x:f>
        <x:v>92.81563655573164</x:v>
      </x:c>
      <x:c r="M20" s="83" t="n">
        <x:f>MAX(0,MIN(100,50+(('Sources &amp; Model'!$B$4-F20)/('Sources &amp; Model'!$B$6*2.5))*45))</x:f>
        <x:v>25.52</x:v>
      </x:c>
      <x:c r="N20" s="83" t="n">
        <x:f>IF(V20="Mine",0,IF(OR(C20="RB",C20="WR"),MAX(30,62-COUNTIFS($C$5:$C$265,C20,$V$5:$V$265,"Mine")*5),IF(OR(C20="D/ST",C20="K"),IF('Sources &amp; Model'!$B$4&gt;='Sources &amp; Model'!$B$6*('Sources &amp; Model'!$B$8-2),62,12),IF(COUNTIFS($C$5:$C$265,C20,$V$5:$V$265,"Mine")=0,82,38))))</x:f>
        <x:v>62</x:v>
      </x:c>
      <x:c r="O20" s="65" t="n">
        <x:v>72.3</x:v>
      </x:c>
      <x:c r="P20" s="83" t="n">
        <x:f>MAX(0,MIN(100,100/(1+EXP(-(('Sources &amp; Model'!$B$5-F20)/MAX(2.5,I20))))))</x:f>
        <x:v>1.2284010073653098</x:v>
      </x:c>
      <x:c r="Q20" s="65" t="n">
        <x:v>90</x:v>
      </x:c>
      <x:c r="R20" s="65" t="n">
        <x:v>92</x:v>
      </x:c>
      <x:c r="S20" s="65" t="n">
        <x:v>58.4</x:v>
      </x:c>
      <x:c r="T20" s="65" t="n">
        <x:v>50</x:v>
      </x:c>
      <x:c r="U20" s="84" t="n">
        <x:f>IF(V20&lt;&gt;"Available","",(L20*'Sources &amp; Model'!$B$13+M20*'Sources &amp; Model'!$B$14+N20*'Sources &amp; Model'!$B$15+O20*'Sources &amp; Model'!$B$16+P20*'Sources &amp; Model'!$B$17+Q20*'Sources &amp; Model'!$B$18+R20*'Sources &amp; Model'!$B$19+S20*'Sources &amp; Model'!$B$20+T20*'Sources &amp; Model'!$B$21)/SUM('Sources &amp; Model'!$B$13:$B$21))</x:f>
        <x:v>64.4873565296853</x:v>
      </x:c>
      <x:c r="V20" s="5" t="str">
        <x:v>Available</x:v>
      </x:c>
      <x:c r="W20" t="str">
        <x:v>https://help.fantasyfootballcalculator.com/article/42-adp-rest-api</x:v>
      </x:c>
    </x:row>
    <x:row r="21">
      <x:c r="A21" s="28" t="n">
        <x:v>17</x:v>
      </x:c>
      <x:c r="B21" s="28" t="str">
        <x:v>Derrick Henry</x:v>
      </x:c>
      <x:c r="C21" s="28" t="str">
        <x:v>RB</x:v>
      </x:c>
      <x:c r="D21" s="28" t="str">
        <x:v>BAL</x:v>
      </x:c>
      <x:c r="E21" s="81" t="n">
        <x:v>13</x:v>
      </x:c>
      <x:c r="F21" s="82" t="n">
        <x:v>16.9</x:v>
      </x:c>
      <x:c r="G21" s="82" t="n">
        <x:v>9</x:v>
      </x:c>
      <x:c r="H21" s="82" t="n">
        <x:v>27</x:v>
      </x:c>
      <x:c r="I21" s="82" t="n">
        <x:v>2.8</x:v>
      </x:c>
      <x:c r="J21" s="81" t="n">
        <x:v>709</x:v>
      </x:c>
      <x:c r="K21" s="81" t="n">
        <x:v>2</x:v>
      </x:c>
      <x:c r="L21" s="83" t="n">
        <x:f>MAX(0,MIN(100,100-((F21-1)/(MAX($F$5:$F$265)-1))*100))</x:f>
        <x:v>91.60063391442155</x:v>
      </x:c>
      <x:c r="M21" s="83" t="n">
        <x:f>MAX(0,MIN(100,50+(('Sources &amp; Model'!$B$4-F21)/('Sources &amp; Model'!$B$6*2.5))*45))</x:f>
        <x:v>21.380000000000006</x:v>
      </x:c>
      <x:c r="N21" s="83" t="n">
        <x:f>IF(V21="Mine",0,IF(OR(C21="RB",C21="WR"),MAX(30,62-COUNTIFS($C$5:$C$265,C21,$V$5:$V$265,"Mine")*5),IF(OR(C21="D/ST",C21="K"),IF('Sources &amp; Model'!$B$4&gt;='Sources &amp; Model'!$B$6*('Sources &amp; Model'!$B$8-2),62,12),IF(COUNTIFS($C$5:$C$265,C21,$V$5:$V$265,"Mine")=0,82,38))))</x:f>
        <x:v>62</x:v>
      </x:c>
      <x:c r="O21" s="65" t="n">
        <x:v>59.6</x:v>
      </x:c>
      <x:c r="P21" s="83" t="n">
        <x:f>MAX(0,MIN(100,100/(1+EXP(-(('Sources &amp; Model'!$B$5-F21)/MAX(2.5,I21))))))</x:f>
        <x:v>0.3406792529797472</x:v>
      </x:c>
      <x:c r="Q21" s="65" t="n">
        <x:v>90</x:v>
      </x:c>
      <x:c r="R21" s="65" t="n">
        <x:v>92</x:v>
      </x:c>
      <x:c r="S21" s="65" t="n">
        <x:v>31.7</x:v>
      </x:c>
      <x:c r="T21" s="65" t="n">
        <x:v>50.3</x:v>
      </x:c>
      <x:c r="U21" s="84" t="n">
        <x:f>IF(V21&lt;&gt;"Available","",(L21*'Sources &amp; Model'!$B$13+M21*'Sources &amp; Model'!$B$14+N21*'Sources &amp; Model'!$B$15+O21*'Sources &amp; Model'!$B$16+P21*'Sources &amp; Model'!$B$17+Q21*'Sources &amp; Model'!$B$18+R21*'Sources &amp; Model'!$B$19+S21*'Sources &amp; Model'!$B$20+T21*'Sources &amp; Model'!$B$21)/SUM('Sources &amp; Model'!$B$13:$B$21))</x:f>
        <x:v>61.2680834562013</x:v>
      </x:c>
      <x:c r="V21" s="5" t="str">
        <x:v>Available</x:v>
      </x:c>
      <x:c r="W21" t="str">
        <x:v>https://help.fantasyfootballcalculator.com/article/42-adp-rest-api</x:v>
      </x:c>
    </x:row>
    <x:row r="22">
      <x:c r="A22" s="28" t="n">
        <x:v>18</x:v>
      </x:c>
      <x:c r="B22" s="28" t="str">
        <x:v>A.J. Brown</x:v>
      </x:c>
      <x:c r="C22" s="28" t="str">
        <x:v>WR</x:v>
      </x:c>
      <x:c r="D22" s="28" t="str">
        <x:v>NE</x:v>
      </x:c>
      <x:c r="E22" s="81" t="n">
        <x:v>11</x:v>
      </x:c>
      <x:c r="F22" s="82" t="n">
        <x:v>17.2</x:v>
      </x:c>
      <x:c r="G22" s="82" t="n">
        <x:v>9</x:v>
      </x:c>
      <x:c r="H22" s="82" t="n">
        <x:v>24</x:v>
      </x:c>
      <x:c r="I22" s="82" t="n">
        <x:v>2.8</x:v>
      </x:c>
      <x:c r="J22" s="81" t="n">
        <x:v>781</x:v>
      </x:c>
      <x:c r="K22" s="81" t="n">
        <x:v>2</x:v>
      </x:c>
      <x:c r="L22" s="83" t="n">
        <x:f>MAX(0,MIN(100,100-((F22-1)/(MAX($F$5:$F$265)-1))*100))</x:f>
        <x:v>91.44215530903328</x:v>
      </x:c>
      <x:c r="M22" s="83" t="n">
        <x:f>MAX(0,MIN(100,50+(('Sources &amp; Model'!$B$4-F22)/('Sources &amp; Model'!$B$6*2.5))*45))</x:f>
        <x:v>20.84</x:v>
      </x:c>
      <x:c r="N22" s="83" t="n">
        <x:f>IF(V22="Mine",0,IF(OR(C22="RB",C22="WR"),MAX(30,62-COUNTIFS($C$5:$C$265,C22,$V$5:$V$265,"Mine")*5),IF(OR(C22="D/ST",C22="K"),IF('Sources &amp; Model'!$B$4&gt;='Sources &amp; Model'!$B$6*('Sources &amp; Model'!$B$8-2),62,12),IF(COUNTIFS($C$5:$C$265,C22,$V$5:$V$265,"Mine")=0,82,38))))</x:f>
        <x:v>62</x:v>
      </x:c>
      <x:c r="O22" s="65" t="n">
        <x:v>58.5</x:v>
      </x:c>
      <x:c r="P22" s="83" t="n">
        <x:f>MAX(0,MIN(100,100/(1+EXP(-(('Sources &amp; Model'!$B$5-F22)/MAX(2.5,I22))))))</x:f>
        <x:v>0.3061713062211447</x:v>
      </x:c>
      <x:c r="Q22" s="65" t="n">
        <x:v>90</x:v>
      </x:c>
      <x:c r="R22" s="65" t="n">
        <x:v>92</x:v>
      </x:c>
      <x:c r="S22" s="65" t="n">
        <x:v>40.6</x:v>
      </x:c>
      <x:c r="T22" s="65" t="n">
        <x:v>49</x:v>
      </x:c>
      <x:c r="U22" s="84" t="n">
        <x:f>IF(V22&lt;&gt;"Available","",(L22*'Sources &amp; Model'!$B$13+M22*'Sources &amp; Model'!$B$14+N22*'Sources &amp; Model'!$B$15+O22*'Sources &amp; Model'!$B$16+P22*'Sources &amp; Model'!$B$17+Q22*'Sources &amp; Model'!$B$18+R22*'Sources &amp; Model'!$B$19+S22*'Sources &amp; Model'!$B$20+T22*'Sources &amp; Model'!$B$21)/SUM('Sources &amp; Model'!$B$13:$B$21))</x:f>
        <x:v>61.157349935693425</x:v>
      </x:c>
      <x:c r="V22" s="5" t="str">
        <x:v>Available</x:v>
      </x:c>
      <x:c r="W22" t="str">
        <x:v>https://help.fantasyfootballcalculator.com/article/42-adp-rest-api</x:v>
      </x:c>
    </x:row>
    <x:row r="23">
      <x:c r="A23" s="28" t="n">
        <x:v>19</x:v>
      </x:c>
      <x:c r="B23" s="28" t="str">
        <x:v>Saquon Barkley</x:v>
      </x:c>
      <x:c r="C23" s="28" t="str">
        <x:v>RB</x:v>
      </x:c>
      <x:c r="D23" s="28" t="str">
        <x:v>PHI</x:v>
      </x:c>
      <x:c r="E23" s="81" t="n">
        <x:v>10</x:v>
      </x:c>
      <x:c r="F23" s="82" t="n">
        <x:v>20.1</x:v>
      </x:c>
      <x:c r="G23" s="82" t="n">
        <x:v>10</x:v>
      </x:c>
      <x:c r="H23" s="82" t="n">
        <x:v>33</x:v>
      </x:c>
      <x:c r="I23" s="82" t="n">
        <x:v>3.5</x:v>
      </x:c>
      <x:c r="J23" s="81" t="n">
        <x:v>1945</x:v>
      </x:c>
      <x:c r="K23" s="81" t="n">
        <x:v>2</x:v>
      </x:c>
      <x:c r="L23" s="83" t="n">
        <x:f>MAX(0,MIN(100,100-((F23-1)/(MAX($F$5:$F$265)-1))*100))</x:f>
        <x:v>89.91019545694664</x:v>
      </x:c>
      <x:c r="M23" s="83" t="n">
        <x:f>MAX(0,MIN(100,50+(('Sources &amp; Model'!$B$4-F23)/('Sources &amp; Model'!$B$6*2.5))*45))</x:f>
        <x:v>15.619999999999997</x:v>
      </x:c>
      <x:c r="N23" s="83" t="n">
        <x:f>IF(V23="Mine",0,IF(OR(C23="RB",C23="WR"),MAX(30,62-COUNTIFS($C$5:$C$265,C23,$V$5:$V$265,"Mine")*5),IF(OR(C23="D/ST",C23="K"),IF('Sources &amp; Model'!$B$4&gt;='Sources &amp; Model'!$B$6*('Sources &amp; Model'!$B$8-2),62,12),IF(COUNTIFS($C$5:$C$265,C23,$V$5:$V$265,"Mine")=0,82,38))))</x:f>
        <x:v>62</x:v>
      </x:c>
      <x:c r="O23" s="65" t="n">
        <x:v>43.1</x:v>
      </x:c>
      <x:c r="P23" s="83" t="n">
        <x:f>MAX(0,MIN(100,100/(1+EXP(-(('Sources &amp; Model'!$B$5-F23)/MAX(2.5,I23))))))</x:f>
        <x:v>0.42476070109715686</x:v>
      </x:c>
      <x:c r="Q23" s="65" t="n">
        <x:v>90</x:v>
      </x:c>
      <x:c r="R23" s="65" t="n">
        <x:v>92</x:v>
      </x:c>
      <x:c r="S23" s="65" t="n">
        <x:v>29.7</x:v>
      </x:c>
      <x:c r="T23" s="65" t="n">
        <x:v>50.3</x:v>
      </x:c>
      <x:c r="U23" s="84" t="n">
        <x:f>IF(V23&lt;&gt;"Available","",(L23*'Sources &amp; Model'!$B$13+M23*'Sources &amp; Model'!$B$14+N23*'Sources &amp; Model'!$B$15+O23*'Sources &amp; Model'!$B$16+P23*'Sources &amp; Model'!$B$17+Q23*'Sources &amp; Model'!$B$18+R23*'Sources &amp; Model'!$B$19+S23*'Sources &amp; Model'!$B$20+T23*'Sources &amp; Model'!$B$21)/SUM('Sources &amp; Model'!$B$13:$B$21))</x:f>
        <x:v>57.760142525471565</x:v>
      </x:c>
      <x:c r="V23" s="5" t="str">
        <x:v>Available</x:v>
      </x:c>
      <x:c r="W23" t="str">
        <x:v>https://help.fantasyfootballcalculator.com/article/42-adp-rest-api</x:v>
      </x:c>
    </x:row>
    <x:row r="24">
      <x:c r="A24" s="28" t="n">
        <x:v>20</x:v>
      </x:c>
      <x:c r="B24" s="28" t="str">
        <x:v>George Pickens</x:v>
      </x:c>
      <x:c r="C24" s="28" t="str">
        <x:v>WR</x:v>
      </x:c>
      <x:c r="D24" s="28" t="str">
        <x:v>DAL</x:v>
      </x:c>
      <x:c r="E24" s="81" t="n">
        <x:v>14</x:v>
      </x:c>
      <x:c r="F24" s="82" t="n">
        <x:v>20.2</x:v>
      </x:c>
      <x:c r="G24" s="82" t="n">
        <x:v>13</x:v>
      </x:c>
      <x:c r="H24" s="82" t="n">
        <x:v>27</x:v>
      </x:c>
      <x:c r="I24" s="82" t="n">
        <x:v>2.6</x:v>
      </x:c>
      <x:c r="J24" s="81" t="n">
        <x:v>467</x:v>
      </x:c>
      <x:c r="K24" s="81" t="n">
        <x:v>2</x:v>
      </x:c>
      <x:c r="L24" s="83" t="n">
        <x:f>MAX(0,MIN(100,100-((F24-1)/(MAX($F$5:$F$265)-1))*100))</x:f>
        <x:v>89.85736925515056</x:v>
      </x:c>
      <x:c r="M24" s="83" t="n">
        <x:f>MAX(0,MIN(100,50+(('Sources &amp; Model'!$B$4-F24)/('Sources &amp; Model'!$B$6*2.5))*45))</x:f>
        <x:v>15.439999999999998</x:v>
      </x:c>
      <x:c r="N24" s="83" t="n">
        <x:f>IF(V24="Mine",0,IF(OR(C24="RB",C24="WR"),MAX(30,62-COUNTIFS($C$5:$C$265,C24,$V$5:$V$265,"Mine")*5),IF(OR(C24="D/ST",C24="K"),IF('Sources &amp; Model'!$B$4&gt;='Sources &amp; Model'!$B$6*('Sources &amp; Model'!$B$8-2),62,12),IF(COUNTIFS($C$5:$C$265,C24,$V$5:$V$265,"Mine")=0,82,38))))</x:f>
        <x:v>62</x:v>
      </x:c>
      <x:c r="O24" s="65" t="n">
        <x:v>50.8</x:v>
      </x:c>
      <x:c r="P24" s="83" t="n">
        <x:f>MAX(0,MIN(100,100/(1+EXP(-(('Sources &amp; Model'!$B$5-F24)/MAX(2.5,I24))))))</x:f>
        <x:v>0.06203442938441089</x:v>
      </x:c>
      <x:c r="Q24" s="65" t="n">
        <x:v>68</x:v>
      </x:c>
      <x:c r="R24" s="65" t="n">
        <x:v>92</x:v>
      </x:c>
      <x:c r="S24" s="65" t="n">
        <x:v>32.6</x:v>
      </x:c>
      <x:c r="T24" s="65" t="n">
        <x:v>49.4</x:v>
      </x:c>
      <x:c r="U24" s="84" t="n">
        <x:f>IF(V24&lt;&gt;"Available","",(L24*'Sources &amp; Model'!$B$13+M24*'Sources &amp; Model'!$B$14+N24*'Sources &amp; Model'!$B$15+O24*'Sources &amp; Model'!$B$16+P24*'Sources &amp; Model'!$B$17+Q24*'Sources &amp; Model'!$B$18+R24*'Sources &amp; Model'!$B$19+S24*'Sources &amp; Model'!$B$20+T24*'Sources &amp; Model'!$B$21)/SUM('Sources &amp; Model'!$B$13:$B$21))</x:f>
        <x:v>57.33010898968963</x:v>
      </x:c>
      <x:c r="V24" s="5" t="str">
        <x:v>Available</x:v>
      </x:c>
      <x:c r="W24" t="str">
        <x:v>https://help.fantasyfootballcalculator.com/article/42-adp-rest-api</x:v>
      </x:c>
    </x:row>
    <x:row r="25">
      <x:c r="A25" s="28" t="n">
        <x:v>21</x:v>
      </x:c>
      <x:c r="B25" s="28" t="str">
        <x:v>Omarion Hampton</x:v>
      </x:c>
      <x:c r="C25" s="28" t="str">
        <x:v>RB</x:v>
      </x:c>
      <x:c r="D25" s="28" t="str">
        <x:v>LAC</x:v>
      </x:c>
      <x:c r="E25" s="81" t="n">
        <x:v>7</x:v>
      </x:c>
      <x:c r="F25" s="82" t="n">
        <x:v>20.3</x:v>
      </x:c>
      <x:c r="G25" s="82" t="n">
        <x:v>10</x:v>
      </x:c>
      <x:c r="H25" s="82" t="n">
        <x:v>33</x:v>
      </x:c>
      <x:c r="I25" s="82" t="n">
        <x:v>3.7</x:v>
      </x:c>
      <x:c r="J25" s="81" t="n">
        <x:v>1747</x:v>
      </x:c>
      <x:c r="K25" s="81" t="n">
        <x:v>2</x:v>
      </x:c>
      <x:c r="L25" s="83" t="n">
        <x:f>MAX(0,MIN(100,100-((F25-1)/(MAX($F$5:$F$265)-1))*100))</x:f>
        <x:v>89.80454305335446</x:v>
      </x:c>
      <x:c r="M25" s="83" t="n">
        <x:f>MAX(0,MIN(100,50+(('Sources &amp; Model'!$B$4-F25)/('Sources &amp; Model'!$B$6*2.5))*45))</x:f>
        <x:v>15.259999999999998</x:v>
      </x:c>
      <x:c r="N25" s="83" t="n">
        <x:f>IF(V25="Mine",0,IF(OR(C25="RB",C25="WR"),MAX(30,62-COUNTIFS($C$5:$C$265,C25,$V$5:$V$265,"Mine")*5),IF(OR(C25="D/ST",C25="K"),IF('Sources &amp; Model'!$B$4&gt;='Sources &amp; Model'!$B$6*('Sources &amp; Model'!$B$8-2),62,12),IF(COUNTIFS($C$5:$C$265,C25,$V$5:$V$265,"Mine")=0,82,38))))</x:f>
        <x:v>62</x:v>
      </x:c>
      <x:c r="O25" s="65" t="n">
        <x:v>66.8</x:v>
      </x:c>
      <x:c r="P25" s="83" t="n">
        <x:f>MAX(0,MIN(100,100/(1+EXP(-(('Sources &amp; Model'!$B$5-F25)/MAX(2.5,I25))))))</x:f>
        <x:v>0.5398525778352156</x:v>
      </x:c>
      <x:c r="Q25" s="65" t="n">
        <x:v>90</x:v>
      </x:c>
      <x:c r="R25" s="65" t="n">
        <x:v>92</x:v>
      </x:c>
      <x:c r="S25" s="65" t="n">
        <x:v>54.4</x:v>
      </x:c>
      <x:c r="T25" s="65" t="n">
        <x:v>50</x:v>
      </x:c>
      <x:c r="U25" s="84" t="n">
        <x:f>IF(V25&lt;&gt;"Available","",(L25*'Sources &amp; Model'!$B$13+M25*'Sources &amp; Model'!$B$14+N25*'Sources &amp; Model'!$B$15+O25*'Sources &amp; Model'!$B$16+P25*'Sources &amp; Model'!$B$17+Q25*'Sources &amp; Model'!$B$18+R25*'Sources &amp; Model'!$B$19+S25*'Sources &amp; Model'!$B$20+T25*'Sources &amp; Model'!$B$21)/SUM('Sources &amp; Model'!$B$13:$B$21))</x:f>
        <x:v>61.013129895924045</x:v>
      </x:c>
      <x:c r="V25" s="5" t="str">
        <x:v>Available</x:v>
      </x:c>
      <x:c r="W25" t="str">
        <x:v>https://help.fantasyfootballcalculator.com/article/42-adp-rest-api</x:v>
      </x:c>
    </x:row>
    <x:row r="26">
      <x:c r="A26" s="28" t="n">
        <x:v>22</x:v>
      </x:c>
      <x:c r="B26" s="28" t="str">
        <x:v>Chris Olave</x:v>
      </x:c>
      <x:c r="C26" s="28" t="str">
        <x:v>WR</x:v>
      </x:c>
      <x:c r="D26" s="28" t="str">
        <x:v>NO</x:v>
      </x:c>
      <x:c r="E26" s="81" t="n">
        <x:v>8</x:v>
      </x:c>
      <x:c r="F26" s="82" t="n">
        <x:v>21.8</x:v>
      </x:c>
      <x:c r="G26" s="82" t="n">
        <x:v>14</x:v>
      </x:c>
      <x:c r="H26" s="82" t="n">
        <x:v>30</x:v>
      </x:c>
      <x:c r="I26" s="82" t="n">
        <x:v>2.8</x:v>
      </x:c>
      <x:c r="J26" s="81" t="n">
        <x:v>340</x:v>
      </x:c>
      <x:c r="K26" s="81" t="n">
        <x:v>2</x:v>
      </x:c>
      <x:c r="L26" s="83" t="n">
        <x:f>MAX(0,MIN(100,100-((F26-1)/(MAX($F$5:$F$265)-1))*100))</x:f>
        <x:v>89.0121500264131</x:v>
      </x:c>
      <x:c r="M26" s="83" t="n">
        <x:f>MAX(0,MIN(100,50+(('Sources &amp; Model'!$B$4-F26)/('Sources &amp; Model'!$B$6*2.5))*45))</x:f>
        <x:v>12.559999999999995</x:v>
      </x:c>
      <x:c r="N26" s="83" t="n">
        <x:f>IF(V26="Mine",0,IF(OR(C26="RB",C26="WR"),MAX(30,62-COUNTIFS($C$5:$C$265,C26,$V$5:$V$265,"Mine")*5),IF(OR(C26="D/ST",C26="K"),IF('Sources &amp; Model'!$B$4&gt;='Sources &amp; Model'!$B$6*('Sources &amp; Model'!$B$8-2),62,12),IF(COUNTIFS($C$5:$C$265,C26,$V$5:$V$265,"Mine")=0,82,38))))</x:f>
        <x:v>62</x:v>
      </x:c>
      <x:c r="O26" s="65" t="n">
        <x:v>46.4</x:v>
      </x:c>
      <x:c r="P26" s="83" t="n">
        <x:f>MAX(0,MIN(100,100/(1+EXP(-(('Sources &amp; Model'!$B$5-F26)/MAX(2.5,I26))))))</x:f>
        <x:v>0.05936828595093558</x:v>
      </x:c>
      <x:c r="Q26" s="65" t="n">
        <x:v>90</x:v>
      </x:c>
      <x:c r="R26" s="65" t="n">
        <x:v>92</x:v>
      </x:c>
      <x:c r="S26" s="65" t="n">
        <x:v>47.2</x:v>
      </x:c>
      <x:c r="T26" s="65" t="n">
        <x:v>50.1</x:v>
      </x:c>
      <x:c r="U26" s="84" t="n">
        <x:f>IF(V26&lt;&gt;"Available","",(L26*'Sources &amp; Model'!$B$13+M26*'Sources &amp; Model'!$B$14+N26*'Sources &amp; Model'!$B$15+O26*'Sources &amp; Model'!$B$16+P26*'Sources &amp; Model'!$B$17+Q26*'Sources &amp; Model'!$B$18+R26*'Sources &amp; Model'!$B$19+S26*'Sources &amp; Model'!$B$20+T26*'Sources &amp; Model'!$B$21)/SUM('Sources &amp; Model'!$B$13:$B$21))</x:f>
        <x:v>57.672667837575545</x:v>
      </x:c>
      <x:c r="V26" s="5" t="str">
        <x:v>Available</x:v>
      </x:c>
      <x:c r="W26" t="str">
        <x:v>https://help.fantasyfootballcalculator.com/article/42-adp-rest-api</x:v>
      </x:c>
    </x:row>
    <x:row r="27">
      <x:c r="A27" s="28" t="n">
        <x:v>23</x:v>
      </x:c>
      <x:c r="B27" s="28" t="str">
        <x:v>Nico Collins</x:v>
      </x:c>
      <x:c r="C27" s="28" t="str">
        <x:v>WR</x:v>
      </x:c>
      <x:c r="D27" s="28" t="str">
        <x:v>HOU</x:v>
      </x:c>
      <x:c r="E27" s="81" t="n">
        <x:v>8</x:v>
      </x:c>
      <x:c r="F27" s="82" t="n">
        <x:v>22.6</x:v>
      </x:c>
      <x:c r="G27" s="82" t="n">
        <x:v>14</x:v>
      </x:c>
      <x:c r="H27" s="82" t="n">
        <x:v>32</x:v>
      </x:c>
      <x:c r="I27" s="82" t="n">
        <x:v>3.1</x:v>
      </x:c>
      <x:c r="J27" s="81" t="n">
        <x:v>696</x:v>
      </x:c>
      <x:c r="K27" s="81" t="n">
        <x:v>2</x:v>
      </x:c>
      <x:c r="L27" s="83" t="n">
        <x:f>MAX(0,MIN(100,100-((F27-1)/(MAX($F$5:$F$265)-1))*100))</x:f>
        <x:v>88.58954041204437</x:v>
      </x:c>
      <x:c r="M27" s="83" t="n">
        <x:f>MAX(0,MIN(100,50+(('Sources &amp; Model'!$B$4-F27)/('Sources &amp; Model'!$B$6*2.5))*45))</x:f>
        <x:v>11.119999999999997</x:v>
      </x:c>
      <x:c r="N27" s="83" t="n">
        <x:f>IF(V27="Mine",0,IF(OR(C27="RB",C27="WR"),MAX(30,62-COUNTIFS($C$5:$C$265,C27,$V$5:$V$265,"Mine")*5),IF(OR(C27="D/ST",C27="K"),IF('Sources &amp; Model'!$B$4&gt;='Sources &amp; Model'!$B$6*('Sources &amp; Model'!$B$8-2),62,12),IF(COUNTIFS($C$5:$C$265,C27,$V$5:$V$265,"Mine")=0,82,38))))</x:f>
        <x:v>62</x:v>
      </x:c>
      <x:c r="O27" s="65" t="n">
        <x:v>56.3</x:v>
      </x:c>
      <x:c r="P27" s="83" t="n">
        <x:f>MAX(0,MIN(100,100/(1+EXP(-(('Sources &amp; Model'!$B$5-F27)/MAX(2.5,I27))))))</x:f>
        <x:v>0.09408909905129531</x:v>
      </x:c>
      <x:c r="Q27" s="65" t="n">
        <x:v>90</x:v>
      </x:c>
      <x:c r="R27" s="65" t="n">
        <x:v>92</x:v>
      </x:c>
      <x:c r="S27" s="65" t="n">
        <x:v>37.6</x:v>
      </x:c>
      <x:c r="T27" s="65" t="n">
        <x:v>49.7</x:v>
      </x:c>
      <x:c r="U27" s="84" t="n">
        <x:f>IF(V27&lt;&gt;"Available","",(L27*'Sources &amp; Model'!$B$13+M27*'Sources &amp; Model'!$B$14+N27*'Sources &amp; Model'!$B$15+O27*'Sources &amp; Model'!$B$16+P27*'Sources &amp; Model'!$B$17+Q27*'Sources &amp; Model'!$B$18+R27*'Sources &amp; Model'!$B$19+S27*'Sources &amp; Model'!$B$20+T27*'Sources &amp; Model'!$B$21)/SUM('Sources &amp; Model'!$B$13:$B$21))</x:f>
        <x:v>58.294052650000225</x:v>
      </x:c>
      <x:c r="V27" s="5" t="str">
        <x:v>Available</x:v>
      </x:c>
      <x:c r="W27" t="str">
        <x:v>https://help.fantasyfootballcalculator.com/article/42-adp-rest-api</x:v>
      </x:c>
    </x:row>
    <x:row r="28">
      <x:c r="A28" s="28" t="n">
        <x:v>24</x:v>
      </x:c>
      <x:c r="B28" s="28" t="str">
        <x:v>Kenneth Walker</x:v>
      </x:c>
      <x:c r="C28" s="28" t="str">
        <x:v>RB</x:v>
      </x:c>
      <x:c r="D28" s="28" t="str">
        <x:v>KC</x:v>
      </x:c>
      <x:c r="E28" s="81" t="n">
        <x:v>5</x:v>
      </x:c>
      <x:c r="F28" s="82" t="n">
        <x:v>24.8</x:v>
      </x:c>
      <x:c r="G28" s="82" t="n">
        <x:v>14</x:v>
      </x:c>
      <x:c r="H28" s="82" t="n">
        <x:v>39</x:v>
      </x:c>
      <x:c r="I28" s="82" t="n">
        <x:v>3.9</x:v>
      </x:c>
      <x:c r="J28" s="81" t="n">
        <x:v>1899</x:v>
      </x:c>
      <x:c r="K28" s="81" t="n">
        <x:v>2</x:v>
      </x:c>
      <x:c r="L28" s="83" t="n">
        <x:f>MAX(0,MIN(100,100-((F28-1)/(MAX($F$5:$F$265)-1))*100))</x:f>
        <x:v>87.42736397253037</x:v>
      </x:c>
      <x:c r="M28" s="83" t="n">
        <x:f>MAX(0,MIN(100,50+(('Sources &amp; Model'!$B$4-F28)/('Sources &amp; Model'!$B$6*2.5))*45))</x:f>
        <x:v>7.159999999999997</x:v>
      </x:c>
      <x:c r="N28" s="83" t="n">
        <x:f>IF(V28="Mine",0,IF(OR(C28="RB",C28="WR"),MAX(30,62-COUNTIFS($C$5:$C$265,C28,$V$5:$V$265,"Mine")*5),IF(OR(C28="D/ST",C28="K"),IF('Sources &amp; Model'!$B$4&gt;='Sources &amp; Model'!$B$6*('Sources &amp; Model'!$B$8-2),62,12),IF(COUNTIFS($C$5:$C$265,C28,$V$5:$V$265,"Mine")=0,82,38))))</x:f>
        <x:v>62</x:v>
      </x:c>
      <x:c r="O28" s="65" t="n">
        <x:v>61.3</x:v>
      </x:c>
      <x:c r="P28" s="83" t="n">
        <x:f>MAX(0,MIN(100,100/(1+EXP(-(('Sources &amp; Model'!$B$5-F28)/MAX(2.5,I28))))))</x:f>
        <x:v>0.22321305900872</x:v>
      </x:c>
      <x:c r="Q28" s="65" t="n">
        <x:v>90</x:v>
      </x:c>
      <x:c r="R28" s="65" t="n">
        <x:v>92</x:v>
      </x:c>
      <x:c r="S28" s="65" t="n">
        <x:v>41.3</x:v>
      </x:c>
      <x:c r="T28" s="65" t="n">
        <x:v>49.2</x:v>
      </x:c>
      <x:c r="U28" s="84" t="n">
        <x:f>IF(V28&lt;&gt;"Available","",(L28*'Sources &amp; Model'!$B$13+M28*'Sources &amp; Model'!$B$14+N28*'Sources &amp; Model'!$B$15+O28*'Sources &amp; Model'!$B$16+P28*'Sources &amp; Model'!$B$17+Q28*'Sources &amp; Model'!$B$18+R28*'Sources &amp; Model'!$B$19+S28*'Sources &amp; Model'!$B$20+T28*'Sources &amp; Model'!$B$21)/SUM('Sources &amp; Model'!$B$13:$B$21))</x:f>
        <x:v>57.9472250565612</x:v>
      </x:c>
      <x:c r="V28" s="5" t="str">
        <x:v>Available</x:v>
      </x:c>
      <x:c r="W28" t="str">
        <x:v>https://help.fantasyfootballcalculator.com/article/42-adp-rest-api</x:v>
      </x:c>
    </x:row>
    <x:row r="29">
      <x:c r="A29" s="28" t="n">
        <x:v>25</x:v>
      </x:c>
      <x:c r="B29" s="28" t="str">
        <x:v>Zay Flowers</x:v>
      </x:c>
      <x:c r="C29" s="28" t="str">
        <x:v>WR</x:v>
      </x:c>
      <x:c r="D29" s="28" t="str">
        <x:v>BAL</x:v>
      </x:c>
      <x:c r="E29" s="81" t="n">
        <x:v>13</x:v>
      </x:c>
      <x:c r="F29" s="82" t="n">
        <x:v>25.2</x:v>
      </x:c>
      <x:c r="G29" s="82" t="n">
        <x:v>16</x:v>
      </x:c>
      <x:c r="H29" s="82" t="n">
        <x:v>38</x:v>
      </x:c>
      <x:c r="I29" s="82" t="n">
        <x:v>3.3</x:v>
      </x:c>
      <x:c r="J29" s="81" t="n">
        <x:v>303</x:v>
      </x:c>
      <x:c r="K29" s="81" t="n">
        <x:v>2</x:v>
      </x:c>
      <x:c r="L29" s="83" t="n">
        <x:f>MAX(0,MIN(100,100-((F29-1)/(MAX($F$5:$F$265)-1))*100))</x:f>
        <x:v>87.21605916534601</x:v>
      </x:c>
      <x:c r="M29" s="83" t="n">
        <x:f>MAX(0,MIN(100,50+(('Sources &amp; Model'!$B$4-F29)/('Sources &amp; Model'!$B$6*2.5))*45))</x:f>
        <x:v>6.439999999999998</x:v>
      </x:c>
      <x:c r="N29" s="83" t="n">
        <x:f>IF(V29="Mine",0,IF(OR(C29="RB",C29="WR"),MAX(30,62-COUNTIFS($C$5:$C$265,C29,$V$5:$V$265,"Mine")*5),IF(OR(C29="D/ST",C29="K"),IF('Sources &amp; Model'!$B$4&gt;='Sources &amp; Model'!$B$6*('Sources &amp; Model'!$B$8-2),62,12),IF(COUNTIFS($C$5:$C$265,C29,$V$5:$V$265,"Mine")=0,82,38))))</x:f>
        <x:v>62</x:v>
      </x:c>
      <x:c r="O29" s="65" t="n">
        <x:v>58</x:v>
      </x:c>
      <x:c r="P29" s="83" t="n">
        <x:f>MAX(0,MIN(100,100/(1+EXP(-(('Sources &amp; Model'!$B$5-F29)/MAX(2.5,I29))))))</x:f>
        <x:v>0.06529653375526917</x:v>
      </x:c>
      <x:c r="Q29" s="65" t="n">
        <x:v>90</x:v>
      </x:c>
      <x:c r="R29" s="65" t="n">
        <x:v>92</x:v>
      </x:c>
      <x:c r="S29" s="65" t="n">
        <x:v>31.7</x:v>
      </x:c>
      <x:c r="T29" s="65" t="n">
        <x:v>50.4</x:v>
      </x:c>
      <x:c r="U29" s="84" t="n">
        <x:f>IF(V29&lt;&gt;"Available","",(L29*'Sources &amp; Model'!$B$13+M29*'Sources &amp; Model'!$B$14+N29*'Sources &amp; Model'!$B$15+O29*'Sources &amp; Model'!$B$16+P29*'Sources &amp; Model'!$B$17+Q29*'Sources &amp; Model'!$B$18+R29*'Sources &amp; Model'!$B$19+S29*'Sources &amp; Model'!$B$20+T29*'Sources &amp; Model'!$B$21)/SUM('Sources &amp; Model'!$B$13:$B$21))</x:f>
        <x:v>57.16838976959316</x:v>
      </x:c>
      <x:c r="V29" s="5" t="str">
        <x:v>Available</x:v>
      </x:c>
      <x:c r="W29" t="str">
        <x:v>https://help.fantasyfootballcalculator.com/article/42-adp-rest-api</x:v>
      </x:c>
    </x:row>
    <x:row r="30">
      <x:c r="A30" s="28" t="n">
        <x:v>26</x:v>
      </x:c>
      <x:c r="B30" s="28" t="str">
        <x:v>Garrett Wilson</x:v>
      </x:c>
      <x:c r="C30" s="28" t="str">
        <x:v>WR</x:v>
      </x:c>
      <x:c r="D30" s="28" t="str">
        <x:v>NYJ</x:v>
      </x:c>
      <x:c r="E30" s="81" t="n">
        <x:v>13</x:v>
      </x:c>
      <x:c r="F30" s="82" t="n">
        <x:v>28.1</x:v>
      </x:c>
      <x:c r="G30" s="82" t="n">
        <x:v>19</x:v>
      </x:c>
      <x:c r="H30" s="82" t="n">
        <x:v>37</x:v>
      </x:c>
      <x:c r="I30" s="82" t="n">
        <x:v>3.3</x:v>
      </x:c>
      <x:c r="J30" s="81" t="n">
        <x:v>275</x:v>
      </x:c>
      <x:c r="K30" s="81" t="n">
        <x:v>2</x:v>
      </x:c>
      <x:c r="L30" s="83" t="n">
        <x:f>MAX(0,MIN(100,100-((F30-1)/(MAX($F$5:$F$265)-1))*100))</x:f>
        <x:v>85.68409931325938</x:v>
      </x:c>
      <x:c r="M30" s="83" t="n">
        <x:f>MAX(0,MIN(100,50+(('Sources &amp; Model'!$B$4-F30)/('Sources &amp; Model'!$B$6*2.5))*45))</x:f>
        <x:v>1.2199999999999989</x:v>
      </x:c>
      <x:c r="N30" s="83" t="n">
        <x:f>IF(V30="Mine",0,IF(OR(C30="RB",C30="WR"),MAX(30,62-COUNTIFS($C$5:$C$265,C30,$V$5:$V$265,"Mine")*5),IF(OR(C30="D/ST",C30="K"),IF('Sources &amp; Model'!$B$4&gt;='Sources &amp; Model'!$B$6*('Sources &amp; Model'!$B$8-2),62,12),IF(COUNTIFS($C$5:$C$265,C30,$V$5:$V$265,"Mine")=0,82,38))))</x:f>
        <x:v>62</x:v>
      </x:c>
      <x:c r="O30" s="65" t="n">
        <x:v>44.8</x:v>
      </x:c>
      <x:c r="P30" s="83" t="n">
        <x:f>MAX(0,MIN(100,100/(1+EXP(-(('Sources &amp; Model'!$B$5-F30)/MAX(2.5,I30))))))</x:f>
        <x:v>0.027127092320494307</x:v>
      </x:c>
      <x:c r="Q30" s="65" t="n">
        <x:v>90</x:v>
      </x:c>
      <x:c r="R30" s="65" t="n">
        <x:v>92</x:v>
      </x:c>
      <x:c r="S30" s="65" t="n">
        <x:v>50.9</x:v>
      </x:c>
      <x:c r="T30" s="65" t="n">
        <x:v>49.9</x:v>
      </x:c>
      <x:c r="U30" s="84" t="n">
        <x:f>IF(V30&lt;&gt;"Available","",(L30*'Sources &amp; Model'!$B$13+M30*'Sources &amp; Model'!$B$14+N30*'Sources &amp; Model'!$B$15+O30*'Sources &amp; Model'!$B$16+P30*'Sources &amp; Model'!$B$17+Q30*'Sources &amp; Model'!$B$18+R30*'Sources &amp; Model'!$B$19+S30*'Sources &amp; Model'!$B$20+T30*'Sources &amp; Model'!$B$21)/SUM('Sources &amp; Model'!$B$13:$B$21))</x:f>
        <x:v>54.60350647574023</x:v>
      </x:c>
      <x:c r="V30" s="5" t="str">
        <x:v>Available</x:v>
      </x:c>
      <x:c r="W30" t="str">
        <x:v>https://help.fantasyfootballcalculator.com/article/42-adp-rest-api</x:v>
      </x:c>
    </x:row>
    <x:row r="31">
      <x:c r="A31" s="28" t="n">
        <x:v>27</x:v>
      </x:c>
      <x:c r="B31" s="28" t="str">
        <x:v>Breece Hall</x:v>
      </x:c>
      <x:c r="C31" s="28" t="str">
        <x:v>RB</x:v>
      </x:c>
      <x:c r="D31" s="28" t="str">
        <x:v>NYJ</x:v>
      </x:c>
      <x:c r="E31" s="81" t="n">
        <x:v>13</x:v>
      </x:c>
      <x:c r="F31" s="82" t="n">
        <x:v>28.3</x:v>
      </x:c>
      <x:c r="G31" s="82" t="n">
        <x:v>19</x:v>
      </x:c>
      <x:c r="H31" s="82" t="n">
        <x:v>37</x:v>
      </x:c>
      <x:c r="I31" s="82" t="n">
        <x:v>3.5</x:v>
      </x:c>
      <x:c r="J31" s="81" t="n">
        <x:v>348</x:v>
      </x:c>
      <x:c r="K31" s="81" t="n">
        <x:v>2</x:v>
      </x:c>
      <x:c r="L31" s="83" t="n">
        <x:f>MAX(0,MIN(100,100-((F31-1)/(MAX($F$5:$F$265)-1))*100))</x:f>
        <x:v>85.57844690966719</x:v>
      </x:c>
      <x:c r="M31" s="83" t="n">
        <x:f>MAX(0,MIN(100,50+(('Sources &amp; Model'!$B$4-F31)/('Sources &amp; Model'!$B$6*2.5))*45))</x:f>
        <x:v>0.8599999999999994</x:v>
      </x:c>
      <x:c r="N31" s="83" t="n">
        <x:f>IF(V31="Mine",0,IF(OR(C31="RB",C31="WR"),MAX(30,62-COUNTIFS($C$5:$C$265,C31,$V$5:$V$265,"Mine")*5),IF(OR(C31="D/ST",C31="K"),IF('Sources &amp; Model'!$B$4&gt;='Sources &amp; Model'!$B$6*('Sources &amp; Model'!$B$8-2),62,12),IF(COUNTIFS($C$5:$C$265,C31,$V$5:$V$265,"Mine")=0,82,38))))</x:f>
        <x:v>62</x:v>
      </x:c>
      <x:c r="O31" s="65" t="n">
        <x:v>44.8</x:v>
      </x:c>
      <x:c r="P31" s="83" t="n">
        <x:f>MAX(0,MIN(100,100/(1+EXP(-(('Sources &amp; Model'!$B$5-F31)/MAX(2.5,I31))))))</x:f>
        <x:v>0.04095671649860504</x:v>
      </x:c>
      <x:c r="Q31" s="65" t="n">
        <x:v>90</x:v>
      </x:c>
      <x:c r="R31" s="65" t="n">
        <x:v>92</x:v>
      </x:c>
      <x:c r="S31" s="65" t="n">
        <x:v>50.9</x:v>
      </x:c>
      <x:c r="T31" s="65" t="n">
        <x:v>50.1</x:v>
      </x:c>
      <x:c r="U31" s="84" t="n">
        <x:f>IF(V31&lt;&gt;"Available","",(L31*'Sources &amp; Model'!$B$13+M31*'Sources &amp; Model'!$B$14+N31*'Sources &amp; Model'!$B$15+O31*'Sources &amp; Model'!$B$16+P31*'Sources &amp; Model'!$B$17+Q31*'Sources &amp; Model'!$B$18+R31*'Sources &amp; Model'!$B$19+S31*'Sources &amp; Model'!$B$20+T31*'Sources &amp; Model'!$B$21)/SUM('Sources &amp; Model'!$B$13:$B$21))</x:f>
        <x:v>54.51336762093671</x:v>
      </x:c>
      <x:c r="V31" s="5" t="str">
        <x:v>Available</x:v>
      </x:c>
      <x:c r="W31" t="str">
        <x:v>https://help.fantasyfootballcalculator.com/article/42-adp-rest-api</x:v>
      </x:c>
    </x:row>
    <x:row r="32">
      <x:c r="A32" s="28" t="n">
        <x:v>28</x:v>
      </x:c>
      <x:c r="B32" s="28" t="str">
        <x:v>DeVonta Smith</x:v>
      </x:c>
      <x:c r="C32" s="28" t="str">
        <x:v>WR</x:v>
      </x:c>
      <x:c r="D32" s="28" t="str">
        <x:v>PHI</x:v>
      </x:c>
      <x:c r="E32" s="81" t="n">
        <x:v>10</x:v>
      </x:c>
      <x:c r="F32" s="82" t="n">
        <x:v>28.6</x:v>
      </x:c>
      <x:c r="G32" s="82" t="n">
        <x:v>19</x:v>
      </x:c>
      <x:c r="H32" s="82" t="n">
        <x:v>40</x:v>
      </x:c>
      <x:c r="I32" s="82" t="n">
        <x:v>3.4</x:v>
      </x:c>
      <x:c r="J32" s="81" t="n">
        <x:v>900</x:v>
      </x:c>
      <x:c r="K32" s="81" t="n">
        <x:v>2</x:v>
      </x:c>
      <x:c r="L32" s="83" t="n">
        <x:f>MAX(0,MIN(100,100-((F32-1)/(MAX($F$5:$F$265)-1))*100))</x:f>
        <x:v>85.41996830427892</x:v>
      </x:c>
      <x:c r="M32" s="83" t="n">
        <x:f>MAX(0,MIN(100,50+(('Sources &amp; Model'!$B$4-F32)/('Sources &amp; Model'!$B$6*2.5))*45))</x:f>
        <x:v>0.3199999999999932</x:v>
      </x:c>
      <x:c r="N32" s="83" t="n">
        <x:f>IF(V32="Mine",0,IF(OR(C32="RB",C32="WR"),MAX(30,62-COUNTIFS($C$5:$C$265,C32,$V$5:$V$265,"Mine")*5),IF(OR(C32="D/ST",C32="K"),IF('Sources &amp; Model'!$B$4&gt;='Sources &amp; Model'!$B$6*('Sources &amp; Model'!$B$8-2),62,12),IF(COUNTIFS($C$5:$C$265,C32,$V$5:$V$265,"Mine")=0,82,38))))</x:f>
        <x:v>62</x:v>
      </x:c>
      <x:c r="O32" s="65" t="n">
        <x:v>44.2</x:v>
      </x:c>
      <x:c r="P32" s="83" t="n">
        <x:f>MAX(0,MIN(100,100/(1+EXP(-(('Sources &amp; Model'!$B$5-F32)/MAX(2.5,I32))))))</x:f>
        <x:v>0.029814063778413127</x:v>
      </x:c>
      <x:c r="Q32" s="65" t="n">
        <x:v>90</x:v>
      </x:c>
      <x:c r="R32" s="65" t="n">
        <x:v>52</x:v>
      </x:c>
      <x:c r="S32" s="65" t="n">
        <x:v>29.7</x:v>
      </x:c>
      <x:c r="T32" s="65" t="n">
        <x:v>51</x:v>
      </x:c>
      <x:c r="U32" s="84" t="n">
        <x:f>IF(V32&lt;&gt;"Available","",(L32*'Sources &amp; Model'!$B$13+M32*'Sources &amp; Model'!$B$14+N32*'Sources &amp; Model'!$B$15+O32*'Sources &amp; Model'!$B$16+P32*'Sources &amp; Model'!$B$17+Q32*'Sources &amp; Model'!$B$18+R32*'Sources &amp; Model'!$B$19+S32*'Sources &amp; Model'!$B$20+T32*'Sources &amp; Model'!$B$21)/SUM('Sources &amp; Model'!$B$13:$B$21))</x:f>
        <x:v>52.28497062983267</x:v>
      </x:c>
      <x:c r="V32" s="5" t="str">
        <x:v>Available</x:v>
      </x:c>
      <x:c r="W32" t="str">
        <x:v>https://help.fantasyfootballcalculator.com/article/42-adp-rest-api</x:v>
      </x:c>
    </x:row>
    <x:row r="33">
      <x:c r="A33" s="28" t="n">
        <x:v>29</x:v>
      </x:c>
      <x:c r="B33" s="28" t="str">
        <x:v>Josh Jacobs</x:v>
      </x:c>
      <x:c r="C33" s="28" t="str">
        <x:v>RB</x:v>
      </x:c>
      <x:c r="D33" s="28" t="str">
        <x:v>GB</x:v>
      </x:c>
      <x:c r="E33" s="81" t="n">
        <x:v>11</x:v>
      </x:c>
      <x:c r="F33" s="82" t="n">
        <x:v>28.8</x:v>
      </x:c>
      <x:c r="G33" s="82" t="n">
        <x:v>16</x:v>
      </x:c>
      <x:c r="H33" s="82" t="n">
        <x:v>44</x:v>
      </x:c>
      <x:c r="I33" s="82" t="n">
        <x:v>4.8</x:v>
      </x:c>
      <x:c r="J33" s="81" t="n">
        <x:v>476</x:v>
      </x:c>
      <x:c r="K33" s="81" t="n">
        <x:v>2</x:v>
      </x:c>
      <x:c r="L33" s="83" t="n">
        <x:f>MAX(0,MIN(100,100-((F33-1)/(MAX($F$5:$F$265)-1))*100))</x:f>
        <x:v>85.31431590068674</x:v>
      </x:c>
      <x:c r="M33" s="83" t="n">
        <x:f>MAX(0,MIN(100,50+(('Sources &amp; Model'!$B$4-F33)/('Sources &amp; Model'!$B$6*2.5))*45))</x:f>
        <x:v>0</x:v>
      </x:c>
      <x:c r="N33" s="83" t="n">
        <x:f>IF(V33="Mine",0,IF(OR(C33="RB",C33="WR"),MAX(30,62-COUNTIFS($C$5:$C$265,C33,$V$5:$V$265,"Mine")*5),IF(OR(C33="D/ST",C33="K"),IF('Sources &amp; Model'!$B$4&gt;='Sources &amp; Model'!$B$6*('Sources &amp; Model'!$B$8-2),62,12),IF(COUNTIFS($C$5:$C$265,C33,$V$5:$V$265,"Mine")=0,82,38))))</x:f>
        <x:v>62</x:v>
      </x:c>
      <x:c r="O33" s="65" t="n">
        <x:v>43.1</x:v>
      </x:c>
      <x:c r="P33" s="83" t="n">
        <x:f>MAX(0,MIN(100,100/(1+EXP(-(('Sources &amp; Model'!$B$5-F33)/MAX(2.5,I33))))))</x:f>
        <x:v>0.3043598015013941</x:v>
      </x:c>
      <x:c r="Q33" s="65" t="n">
        <x:v>90</x:v>
      </x:c>
      <x:c r="R33" s="65" t="n">
        <x:v>52</x:v>
      </x:c>
      <x:c r="S33" s="65" t="n">
        <x:v>41.8</x:v>
      </x:c>
      <x:c r="T33" s="65" t="n">
        <x:v>49.5</x:v>
      </x:c>
      <x:c r="U33" s="84" t="n">
        <x:f>IF(V33&lt;&gt;"Available","",(L33*'Sources &amp; Model'!$B$13+M33*'Sources &amp; Model'!$B$14+N33*'Sources &amp; Model'!$B$15+O33*'Sources &amp; Model'!$B$16+P33*'Sources &amp; Model'!$B$17+Q33*'Sources &amp; Model'!$B$18+R33*'Sources &amp; Model'!$B$19+S33*'Sources &amp; Model'!$B$20+T33*'Sources &amp; Model'!$B$21)/SUM('Sources &amp; Model'!$B$13:$B$21))</x:f>
        <x:v>52.32030338638364</x:v>
      </x:c>
      <x:c r="V33" s="5" t="str">
        <x:v>Available</x:v>
      </x:c>
      <x:c r="W33" t="str">
        <x:v>https://help.fantasyfootballcalculator.com/article/42-adp-rest-api</x:v>
      </x:c>
    </x:row>
    <x:row r="34">
      <x:c r="A34" s="28" t="n">
        <x:v>30</x:v>
      </x:c>
      <x:c r="B34" s="28" t="str">
        <x:v>Jeremiyah Love</x:v>
      </x:c>
      <x:c r="C34" s="28" t="str">
        <x:v>RB</x:v>
      </x:c>
      <x:c r="D34" s="28" t="str">
        <x:v>ARI</x:v>
      </x:c>
      <x:c r="E34" s="81" t="n">
        <x:v>14</x:v>
      </x:c>
      <x:c r="F34" s="82" t="n">
        <x:v>29</x:v>
      </x:c>
      <x:c r="G34" s="82" t="n">
        <x:v>17</x:v>
      </x:c>
      <x:c r="H34" s="82" t="n">
        <x:v>44</x:v>
      </x:c>
      <x:c r="I34" s="82" t="n">
        <x:v>4.4</x:v>
      </x:c>
      <x:c r="J34" s="81" t="n">
        <x:v>575</x:v>
      </x:c>
      <x:c r="K34" s="81" t="n">
        <x:v>2</x:v>
      </x:c>
      <x:c r="L34" s="83" t="n">
        <x:f>MAX(0,MIN(100,100-((F34-1)/(MAX($F$5:$F$265)-1))*100))</x:f>
        <x:v>85.20866349709456</x:v>
      </x:c>
      <x:c r="M34" s="83" t="n">
        <x:f>MAX(0,MIN(100,50+(('Sources &amp; Model'!$B$4-F34)/('Sources &amp; Model'!$B$6*2.5))*45))</x:f>
        <x:v>0</x:v>
      </x:c>
      <x:c r="N34" s="83" t="n">
        <x:f>IF(V34="Mine",0,IF(OR(C34="RB",C34="WR"),MAX(30,62-COUNTIFS($C$5:$C$265,C34,$V$5:$V$265,"Mine")*5),IF(OR(C34="D/ST",C34="K"),IF('Sources &amp; Model'!$B$4&gt;='Sources &amp; Model'!$B$6*('Sources &amp; Model'!$B$8-2),62,12),IF(COUNTIFS($C$5:$C$265,C34,$V$5:$V$265,"Mine")=0,82,38))))</x:f>
        <x:v>62</x:v>
      </x:c>
      <x:c r="O34" s="65" t="n">
        <x:v>62.9</x:v>
      </x:c>
      <x:c r="P34" s="83" t="n">
        <x:f>MAX(0,MIN(100,100/(1+EXP(-(('Sources &amp; Model'!$B$5-F34)/MAX(2.5,I34))))))</x:f>
        <x:v>0.17201255952192596</x:v>
      </x:c>
      <x:c r="Q34" s="65" t="n">
        <x:v>90</x:v>
      </x:c>
      <x:c r="R34" s="65" t="n">
        <x:v>52</x:v>
      </x:c>
      <x:c r="S34" s="65" t="n">
        <x:v>51.8</x:v>
      </x:c>
      <x:c r="T34" s="65" t="n">
        <x:v>50</x:v>
      </x:c>
      <x:c r="U34" s="84" t="n">
        <x:f>IF(V34&lt;&gt;"Available","",(L34*'Sources &amp; Model'!$B$13+M34*'Sources &amp; Model'!$B$14+N34*'Sources &amp; Model'!$B$15+O34*'Sources &amp; Model'!$B$16+P34*'Sources &amp; Model'!$B$17+Q34*'Sources &amp; Model'!$B$18+R34*'Sources &amp; Model'!$B$19+S34*'Sources &amp; Model'!$B$20+T34*'Sources &amp; Model'!$B$21)/SUM('Sources &amp; Model'!$B$13:$B$21))</x:f>
        <x:v>54.85214684496435</x:v>
      </x:c>
      <x:c r="V34" s="5" t="str">
        <x:v>Available</x:v>
      </x:c>
      <x:c r="W34" t="str">
        <x:v>https://help.fantasyfootballcalculator.com/article/42-adp-rest-api</x:v>
      </x:c>
    </x:row>
    <x:row r="35">
      <x:c r="A35" s="28" t="n">
        <x:v>31</x:v>
      </x:c>
      <x:c r="B35" s="28" t="str">
        <x:v>Malik Nabers</x:v>
      </x:c>
      <x:c r="C35" s="28" t="str">
        <x:v>WR</x:v>
      </x:c>
      <x:c r="D35" s="28" t="str">
        <x:v>NYG</x:v>
      </x:c>
      <x:c r="E35" s="81" t="n">
        <x:v>8</x:v>
      </x:c>
      <x:c r="F35" s="82" t="n">
        <x:v>29</x:v>
      </x:c>
      <x:c r="G35" s="82" t="n">
        <x:v>17</x:v>
      </x:c>
      <x:c r="H35" s="82" t="n">
        <x:v>43</x:v>
      </x:c>
      <x:c r="I35" s="82" t="n">
        <x:v>4.4</x:v>
      </x:c>
      <x:c r="J35" s="81" t="n">
        <x:v>1431</x:v>
      </x:c>
      <x:c r="K35" s="81" t="n">
        <x:v>2</x:v>
      </x:c>
      <x:c r="L35" s="83" t="n">
        <x:f>MAX(0,MIN(100,100-((F35-1)/(MAX($F$5:$F$265)-1))*100))</x:f>
        <x:v>85.20866349709456</x:v>
      </x:c>
      <x:c r="M35" s="83" t="n">
        <x:f>MAX(0,MIN(100,50+(('Sources &amp; Model'!$B$4-F35)/('Sources &amp; Model'!$B$6*2.5))*45))</x:f>
        <x:v>0</x:v>
      </x:c>
      <x:c r="N35" s="83" t="n">
        <x:f>IF(V35="Mine",0,IF(OR(C35="RB",C35="WR"),MAX(30,62-COUNTIFS($C$5:$C$265,C35,$V$5:$V$265,"Mine")*5),IF(OR(C35="D/ST",C35="K"),IF('Sources &amp; Model'!$B$4&gt;='Sources &amp; Model'!$B$6*('Sources &amp; Model'!$B$8-2),62,12),IF(COUNTIFS($C$5:$C$265,C35,$V$5:$V$265,"Mine")=0,82,38))))</x:f>
        <x:v>62</x:v>
      </x:c>
      <x:c r="O35" s="65" t="n">
        <x:v>67.9</x:v>
      </x:c>
      <x:c r="P35" s="83" t="n">
        <x:f>MAX(0,MIN(100,100/(1+EXP(-(('Sources &amp; Model'!$B$5-F35)/MAX(2.5,I35))))))</x:f>
        <x:v>0.17201255952192596</x:v>
      </x:c>
      <x:c r="Q35" s="65" t="n">
        <x:v>90</x:v>
      </x:c>
      <x:c r="R35" s="65" t="n">
        <x:v>52</x:v>
      </x:c>
      <x:c r="S35" s="65" t="n">
        <x:v>40.4</x:v>
      </x:c>
      <x:c r="T35" s="65" t="n">
        <x:v>50</x:v>
      </x:c>
      <x:c r="U35" s="84" t="n">
        <x:f>IF(V35&lt;&gt;"Available","",(L35*'Sources &amp; Model'!$B$13+M35*'Sources &amp; Model'!$B$14+N35*'Sources &amp; Model'!$B$15+O35*'Sources &amp; Model'!$B$16+P35*'Sources &amp; Model'!$B$17+Q35*'Sources &amp; Model'!$B$18+R35*'Sources &amp; Model'!$B$19+S35*'Sources &amp; Model'!$B$20+T35*'Sources &amp; Model'!$B$21)/SUM('Sources &amp; Model'!$B$13:$B$21))</x:f>
        <x:v>55.22414684496435</x:v>
      </x:c>
      <x:c r="V35" s="5" t="str">
        <x:v>Available</x:v>
      </x:c>
      <x:c r="W35" t="str">
        <x:v>https://help.fantasyfootballcalculator.com/article/42-adp-rest-api</x:v>
      </x:c>
    </x:row>
    <x:row r="36">
      <x:c r="A36" s="28" t="n">
        <x:v>32</x:v>
      </x:c>
      <x:c r="B36" s="28" t="str">
        <x:v>Josh Allen</x:v>
      </x:c>
      <x:c r="C36" s="28" t="str">
        <x:v>QB</x:v>
      </x:c>
      <x:c r="D36" s="28" t="str">
        <x:v>BUF</x:v>
      </x:c>
      <x:c r="E36" s="81" t="n">
        <x:v>7</x:v>
      </x:c>
      <x:c r="F36" s="82" t="n">
        <x:v>29.2</x:v>
      </x:c>
      <x:c r="G36" s="82" t="n">
        <x:v>9</x:v>
      </x:c>
      <x:c r="H36" s="82" t="n">
        <x:v>46</x:v>
      </x:c>
      <x:c r="I36" s="82" t="n">
        <x:v>7.7</x:v>
      </x:c>
      <x:c r="J36" s="81" t="n">
        <x:v>1121</x:v>
      </x:c>
      <x:c r="K36" s="81" t="n">
        <x:v>1</x:v>
      </x:c>
      <x:c r="L36" s="83" t="n">
        <x:f>MAX(0,MIN(100,100-((F36-1)/(MAX($F$5:$F$265)-1))*100))</x:f>
        <x:v>85.10301109350237</x:v>
      </x:c>
      <x:c r="M36" s="83" t="n">
        <x:f>MAX(0,MIN(100,50+(('Sources &amp; Model'!$B$4-F36)/('Sources &amp; Model'!$B$6*2.5))*45))</x:f>
        <x:v>0</x:v>
      </x:c>
      <x:c r="N36" s="83" t="n">
        <x:f>IF(V36="Mine",0,IF(OR(C36="RB",C36="WR"),MAX(30,62-COUNTIFS($C$5:$C$265,C36,$V$5:$V$265,"Mine")*5),IF(OR(C36="D/ST",C36="K"),IF('Sources &amp; Model'!$B$4&gt;='Sources &amp; Model'!$B$6*('Sources &amp; Model'!$B$8-2),62,12),IF(COUNTIFS($C$5:$C$265,C36,$V$5:$V$265,"Mine")=0,82,38))))</x:f>
        <x:v>82</x:v>
      </x:c>
      <x:c r="O36" s="65" t="n">
        <x:v>100</x:v>
      </x:c>
      <x:c r="P36" s="83" t="n">
        <x:f>MAX(0,MIN(100,100/(1+EXP(-(('Sources &amp; Model'!$B$5-F36)/MAX(2.5,I36))))))</x:f>
        <x:v>2.5029851956900684</x:v>
      </x:c>
      <x:c r="Q36" s="65" t="n">
        <x:v>90</x:v>
      </x:c>
      <x:c r="R36" s="65" t="n">
        <x:v>92</x:v>
      </x:c>
      <x:c r="S36" s="65" t="n">
        <x:v>30.8</x:v>
      </x:c>
      <x:c r="T36" s="65" t="n">
        <x:v>49.2</x:v>
      </x:c>
      <x:c r="U36" s="84" t="n">
        <x:f>IF(V36&lt;&gt;"Available","",(L36*'Sources &amp; Model'!$B$13+M36*'Sources &amp; Model'!$B$14+N36*'Sources &amp; Model'!$B$15+O36*'Sources &amp; Model'!$B$16+P36*'Sources &amp; Model'!$B$17+Q36*'Sources &amp; Model'!$B$18+R36*'Sources &amp; Model'!$B$19+S36*'Sources &amp; Model'!$B$20+T36*'Sources &amp; Model'!$B$21)/SUM('Sources &amp; Model'!$B$13:$B$21))</x:f>
        <x:v>63.67332229135981</x:v>
      </x:c>
      <x:c r="V36" s="5" t="str">
        <x:v>Available</x:v>
      </x:c>
      <x:c r="W36" t="str">
        <x:v>https://help.fantasyfootballcalculator.com/article/42-adp-rest-api</x:v>
      </x:c>
    </x:row>
    <x:row r="37">
      <x:c r="A37" s="28" t="n">
        <x:v>33</x:v>
      </x:c>
      <x:c r="B37" s="28" t="str">
        <x:v>Trey McBride</x:v>
      </x:c>
      <x:c r="C37" s="28" t="str">
        <x:v>TE</x:v>
      </x:c>
      <x:c r="D37" s="28" t="str">
        <x:v>ARI</x:v>
      </x:c>
      <x:c r="E37" s="81" t="n">
        <x:v>14</x:v>
      </x:c>
      <x:c r="F37" s="82" t="n">
        <x:v>32.7</x:v>
      </x:c>
      <x:c r="G37" s="82" t="n">
        <x:v>15</x:v>
      </x:c>
      <x:c r="H37" s="82" t="n">
        <x:v>50</x:v>
      </x:c>
      <x:c r="I37" s="82" t="n">
        <x:v>6.4</x:v>
      </x:c>
      <x:c r="J37" s="81" t="n">
        <x:v>930</x:v>
      </x:c>
      <x:c r="K37" s="81" t="n">
        <x:v>1</x:v>
      </x:c>
      <x:c r="L37" s="83" t="n">
        <x:f>MAX(0,MIN(100,100-((F37-1)/(MAX($F$5:$F$265)-1))*100))</x:f>
        <x:v>83.2540940306392</x:v>
      </x:c>
      <x:c r="M37" s="83" t="n">
        <x:f>MAX(0,MIN(100,50+(('Sources &amp; Model'!$B$4-F37)/('Sources &amp; Model'!$B$6*2.5))*45))</x:f>
        <x:v>0</x:v>
      </x:c>
      <x:c r="N37" s="83" t="n">
        <x:f>IF(V37="Mine",0,IF(OR(C37="RB",C37="WR"),MAX(30,62-COUNTIFS($C$5:$C$265,C37,$V$5:$V$265,"Mine")*5),IF(OR(C37="D/ST",C37="K"),IF('Sources &amp; Model'!$B$4&gt;='Sources &amp; Model'!$B$6*('Sources &amp; Model'!$B$8-2),62,12),IF(COUNTIFS($C$5:$C$265,C37,$V$5:$V$265,"Mine")=0,82,38))))</x:f>
        <x:v>82</x:v>
      </x:c>
      <x:c r="O37" s="65" t="n">
        <x:v>75.5</x:v>
      </x:c>
      <x:c r="P37" s="83" t="n">
        <x:f>MAX(0,MIN(100,100/(1+EXP(-(('Sources &amp; Model'!$B$5-F37)/MAX(2.5,I37))))))</x:f>
        <x:v>0.7011795381497107</x:v>
      </x:c>
      <x:c r="Q37" s="65" t="n">
        <x:v>90</x:v>
      </x:c>
      <x:c r="R37" s="65" t="n">
        <x:v>92</x:v>
      </x:c>
      <x:c r="S37" s="65" t="n">
        <x:v>51.8</x:v>
      </x:c>
      <x:c r="T37" s="65" t="n">
        <x:v>49.4</x:v>
      </x:c>
      <x:c r="U37" s="84" t="n">
        <x:f>IF(V37&lt;&gt;"Available","",(L37*'Sources &amp; Model'!$B$13+M37*'Sources &amp; Model'!$B$14+N37*'Sources &amp; Model'!$B$15+O37*'Sources &amp; Model'!$B$16+P37*'Sources &amp; Model'!$B$17+Q37*'Sources &amp; Model'!$B$18+R37*'Sources &amp; Model'!$B$19+S37*'Sources &amp; Model'!$B$20+T37*'Sources &amp; Model'!$B$21)/SUM('Sources &amp; Model'!$B$13:$B$21))</x:f>
        <x:v>60.34650992423229</x:v>
      </x:c>
      <x:c r="V37" s="5" t="str">
        <x:v>Available</x:v>
      </x:c>
      <x:c r="W37" t="str">
        <x:v>https://help.fantasyfootballcalculator.com/article/42-adp-rest-api</x:v>
      </x:c>
    </x:row>
    <x:row r="38">
      <x:c r="A38" s="28" t="n">
        <x:v>34</x:v>
      </x:c>
      <x:c r="B38" s="28" t="str">
        <x:v>Kyren Williams</x:v>
      </x:c>
      <x:c r="C38" s="28" t="str">
        <x:v>RB</x:v>
      </x:c>
      <x:c r="D38" s="28" t="str">
        <x:v>LAR</x:v>
      </x:c>
      <x:c r="E38" s="81" t="n">
        <x:v>11</x:v>
      </x:c>
      <x:c r="F38" s="82" t="n">
        <x:v>32.8</x:v>
      </x:c>
      <x:c r="G38" s="82" t="n">
        <x:v>22</x:v>
      </x:c>
      <x:c r="H38" s="82" t="n">
        <x:v>44</x:v>
      </x:c>
      <x:c r="I38" s="82" t="n">
        <x:v>4</x:v>
      </x:c>
      <x:c r="J38" s="81" t="n">
        <x:v>972</x:v>
      </x:c>
      <x:c r="K38" s="81" t="n">
        <x:v>2</x:v>
      </x:c>
      <x:c r="L38" s="83" t="n">
        <x:f>MAX(0,MIN(100,100-((F38-1)/(MAX($F$5:$F$265)-1))*100))</x:f>
        <x:v>83.2012678288431</x:v>
      </x:c>
      <x:c r="M38" s="83" t="n">
        <x:f>MAX(0,MIN(100,50+(('Sources &amp; Model'!$B$4-F38)/('Sources &amp; Model'!$B$6*2.5))*45))</x:f>
        <x:v>0</x:v>
      </x:c>
      <x:c r="N38" s="83" t="n">
        <x:f>IF(V38="Mine",0,IF(OR(C38="RB",C38="WR"),MAX(30,62-COUNTIFS($C$5:$C$265,C38,$V$5:$V$265,"Mine")*5),IF(OR(C38="D/ST",C38="K"),IF('Sources &amp; Model'!$B$4&gt;='Sources &amp; Model'!$B$6*('Sources &amp; Model'!$B$8-2),62,12),IF(COUNTIFS($C$5:$C$265,C38,$V$5:$V$265,"Mine")=0,82,38))))</x:f>
        <x:v>62</x:v>
      </x:c>
      <x:c r="O38" s="65" t="n">
        <x:v>45.3</x:v>
      </x:c>
      <x:c r="P38" s="83" t="n">
        <x:f>MAX(0,MIN(100,100/(1+EXP(-(('Sources &amp; Model'!$B$5-F38)/MAX(2.5,I38))))))</x:f>
        <x:v>0.035253783787123905</x:v>
      </x:c>
      <x:c r="Q38" s="65" t="n">
        <x:v>90</x:v>
      </x:c>
      <x:c r="R38" s="65" t="n">
        <x:v>92</x:v>
      </x:c>
      <x:c r="S38" s="65" t="n">
        <x:v>45.2</x:v>
      </x:c>
      <x:c r="T38" s="65" t="n">
        <x:v>50.1</x:v>
      </x:c>
      <x:c r="U38" s="84" t="n">
        <x:f>IF(V38&lt;&gt;"Available","",(L38*'Sources &amp; Model'!$B$13+M38*'Sources &amp; Model'!$B$14+N38*'Sources &amp; Model'!$B$15+O38*'Sources &amp; Model'!$B$16+P38*'Sources &amp; Model'!$B$17+Q38*'Sources &amp; Model'!$B$18+R38*'Sources &amp; Model'!$B$19+S38*'Sources &amp; Model'!$B$20+T38*'Sources &amp; Model'!$B$21)/SUM('Sources &amp; Model'!$B$13:$B$21))</x:f>
        <x:v>53.51295644018536</x:v>
      </x:c>
      <x:c r="V38" s="5" t="str">
        <x:v>Available</x:v>
      </x:c>
      <x:c r="W38" t="str">
        <x:v>https://help.fantasyfootballcalculator.com/article/42-adp-rest-api</x:v>
      </x:c>
    </x:row>
    <x:row r="39">
      <x:c r="A39" s="28" t="n">
        <x:v>35</x:v>
      </x:c>
      <x:c r="B39" s="28" t="str">
        <x:v>Cam Skattebo</x:v>
      </x:c>
      <x:c r="C39" s="28" t="str">
        <x:v>RB</x:v>
      </x:c>
      <x:c r="D39" s="28" t="str">
        <x:v>NYG</x:v>
      </x:c>
      <x:c r="E39" s="81" t="n">
        <x:v>8</x:v>
      </x:c>
      <x:c r="F39" s="82" t="n">
        <x:v>33.4</x:v>
      </x:c>
      <x:c r="G39" s="82" t="n">
        <x:v>21</x:v>
      </x:c>
      <x:c r="H39" s="82" t="n">
        <x:v>44</x:v>
      </x:c>
      <x:c r="I39" s="82" t="n">
        <x:v>4.5</x:v>
      </x:c>
      <x:c r="J39" s="81" t="n">
        <x:v>450</x:v>
      </x:c>
      <x:c r="K39" s="81" t="n">
        <x:v>3</x:v>
      </x:c>
      <x:c r="L39" s="83" t="n">
        <x:f>MAX(0,MIN(100,100-((F39-1)/(MAX($F$5:$F$265)-1))*100))</x:f>
        <x:v>82.88431061806656</x:v>
      </x:c>
      <x:c r="M39" s="83" t="n">
        <x:f>MAX(0,MIN(100,50+(('Sources &amp; Model'!$B$4-F39)/('Sources &amp; Model'!$B$6*2.5))*45))</x:f>
        <x:v>0</x:v>
      </x:c>
      <x:c r="N39" s="83" t="n">
        <x:f>IF(V39="Mine",0,IF(OR(C39="RB",C39="WR"),MAX(30,62-COUNTIFS($C$5:$C$265,C39,$V$5:$V$265,"Mine")*5),IF(OR(C39="D/ST",C39="K"),IF('Sources &amp; Model'!$B$4&gt;='Sources &amp; Model'!$B$6*('Sources &amp; Model'!$B$8-2),62,12),IF(COUNTIFS($C$5:$C$265,C39,$V$5:$V$265,"Mine")=0,82,38))))</x:f>
        <x:v>62</x:v>
      </x:c>
      <x:c r="O39" s="65" t="n">
        <x:v>62.9</x:v>
      </x:c>
      <x:c r="P39" s="83" t="n">
        <x:f>MAX(0,MIN(100,100/(1+EXP(-(('Sources &amp; Model'!$B$5-F39)/MAX(2.5,I39))))))</x:f>
        <x:v>0.07460288338366976</x:v>
      </x:c>
      <x:c r="Q39" s="65" t="n">
        <x:v>90</x:v>
      </x:c>
      <x:c r="R39" s="65" t="n">
        <x:v>92</x:v>
      </x:c>
      <x:c r="S39" s="65" t="n">
        <x:v>40.4</x:v>
      </x:c>
      <x:c r="T39" s="65" t="n">
        <x:v>50</x:v>
      </x:c>
      <x:c r="U39" s="84" t="n">
        <x:f>IF(V39&lt;&gt;"Available","",(L39*'Sources &amp; Model'!$B$13+M39*'Sources &amp; Model'!$B$14+N39*'Sources &amp; Model'!$B$15+O39*'Sources &amp; Model'!$B$16+P39*'Sources &amp; Model'!$B$17+Q39*'Sources &amp; Model'!$B$18+R39*'Sources &amp; Model'!$B$19+S39*'Sources &amp; Model'!$B$20+T39*'Sources &amp; Model'!$B$21)/SUM('Sources &amp; Model'!$B$13:$B$21))</x:f>
        <x:v>55.42412589848101</x:v>
      </x:c>
      <x:c r="V39" s="5" t="str">
        <x:v>Available</x:v>
      </x:c>
      <x:c r="W39" t="str">
        <x:v>https://help.fantasyfootballcalculator.com/article/42-adp-rest-api</x:v>
      </x:c>
    </x:row>
    <x:row r="40">
      <x:c r="A40" s="28" t="n">
        <x:v>36</x:v>
      </x:c>
      <x:c r="B40" s="28" t="str">
        <x:v>Tetairoa McMillan</x:v>
      </x:c>
      <x:c r="C40" s="28" t="str">
        <x:v>WR</x:v>
      </x:c>
      <x:c r="D40" s="28" t="str">
        <x:v>CAR</x:v>
      </x:c>
      <x:c r="E40" s="81" t="n">
        <x:v>5</x:v>
      </x:c>
      <x:c r="F40" s="82" t="n">
        <x:v>33.7</x:v>
      </x:c>
      <x:c r="G40" s="82" t="n">
        <x:v>23</x:v>
      </x:c>
      <x:c r="H40" s="82" t="n">
        <x:v>47</x:v>
      </x:c>
      <x:c r="I40" s="82" t="n">
        <x:v>3.9</x:v>
      </x:c>
      <x:c r="J40" s="81" t="n">
        <x:v>578</x:v>
      </x:c>
      <x:c r="K40" s="81" t="n">
        <x:v>3</x:v>
      </x:c>
      <x:c r="L40" s="83" t="n">
        <x:f>MAX(0,MIN(100,100-((F40-1)/(MAX($F$5:$F$265)-1))*100))</x:f>
        <x:v>82.7258320126783</x:v>
      </x:c>
      <x:c r="M40" s="83" t="n">
        <x:f>MAX(0,MIN(100,50+(('Sources &amp; Model'!$B$4-F40)/('Sources &amp; Model'!$B$6*2.5))*45))</x:f>
        <x:v>0</x:v>
      </x:c>
      <x:c r="N40" s="83" t="n">
        <x:f>IF(V40="Mine",0,IF(OR(C40="RB",C40="WR"),MAX(30,62-COUNTIFS($C$5:$C$265,C40,$V$5:$V$265,"Mine")*5),IF(OR(C40="D/ST",C40="K"),IF('Sources &amp; Model'!$B$4&gt;='Sources &amp; Model'!$B$6*('Sources &amp; Model'!$B$8-2),62,12),IF(COUNTIFS($C$5:$C$265,C40,$V$5:$V$265,"Mine")=0,82,38))))</x:f>
        <x:v>62</x:v>
      </x:c>
      <x:c r="O40" s="65" t="n">
        <x:v>58.5</x:v>
      </x:c>
      <x:c r="P40" s="83" t="n">
        <x:f>MAX(0,MIN(100,100/(1+EXP(-(('Sources &amp; Model'!$B$5-F40)/MAX(2.5,I40))))))</x:f>
        <x:v>0.02283014365393172</x:v>
      </x:c>
      <x:c r="Q40" s="65" t="n">
        <x:v>90</x:v>
      </x:c>
      <x:c r="R40" s="65" t="n">
        <x:v>92</x:v>
      </x:c>
      <x:c r="S40" s="65" t="n">
        <x:v>43.9</x:v>
      </x:c>
      <x:c r="T40" s="65" t="n">
        <x:v>50</x:v>
      </x:c>
      <x:c r="U40" s="84" t="n">
        <x:f>IF(V40&lt;&gt;"Available","",(L40*'Sources &amp; Model'!$B$13+M40*'Sources &amp; Model'!$B$14+N40*'Sources &amp; Model'!$B$15+O40*'Sources &amp; Model'!$B$16+P40*'Sources &amp; Model'!$B$17+Q40*'Sources &amp; Model'!$B$18+R40*'Sources &amp; Model'!$B$19+S40*'Sources &amp; Model'!$B$20+T40*'Sources &amp; Model'!$B$21)/SUM('Sources &amp; Model'!$B$13:$B$21))</x:f>
        <x:v>54.90706589867601</x:v>
      </x:c>
      <x:c r="V40" s="5" t="str">
        <x:v>Available</x:v>
      </x:c>
      <x:c r="W40" t="str">
        <x:v>https://help.fantasyfootballcalculator.com/article/42-adp-rest-api</x:v>
      </x:c>
    </x:row>
    <x:row r="41">
      <x:c r="A41" s="28" t="n">
        <x:v>37</x:v>
      </x:c>
      <x:c r="B41" s="28" t="str">
        <x:v>Tee Higgins</x:v>
      </x:c>
      <x:c r="C41" s="28" t="str">
        <x:v>WR</x:v>
      </x:c>
      <x:c r="D41" s="28" t="str">
        <x:v>CIN</x:v>
      </x:c>
      <x:c r="E41" s="81" t="n">
        <x:v>6</x:v>
      </x:c>
      <x:c r="F41" s="82" t="n">
        <x:v>36.7</x:v>
      </x:c>
      <x:c r="G41" s="82" t="n">
        <x:v>25</x:v>
      </x:c>
      <x:c r="H41" s="82" t="n">
        <x:v>54</x:v>
      </x:c>
      <x:c r="I41" s="82" t="n">
        <x:v>4.4</x:v>
      </x:c>
      <x:c r="J41" s="81" t="n">
        <x:v>697</x:v>
      </x:c>
      <x:c r="K41" s="81" t="n">
        <x:v>3</x:v>
      </x:c>
      <x:c r="L41" s="83" t="n">
        <x:f>MAX(0,MIN(100,100-((F41-1)/(MAX($F$5:$F$265)-1))*100))</x:f>
        <x:v>81.14104595879556</x:v>
      </x:c>
      <x:c r="M41" s="83" t="n">
        <x:f>MAX(0,MIN(100,50+(('Sources &amp; Model'!$B$4-F41)/('Sources &amp; Model'!$B$6*2.5))*45))</x:f>
        <x:v>0</x:v>
      </x:c>
      <x:c r="N41" s="83" t="n">
        <x:f>IF(V41="Mine",0,IF(OR(C41="RB",C41="WR"),MAX(30,62-COUNTIFS($C$5:$C$265,C41,$V$5:$V$265,"Mine")*5),IF(OR(C41="D/ST",C41="K"),IF('Sources &amp; Model'!$B$4&gt;='Sources &amp; Model'!$B$6*('Sources &amp; Model'!$B$8-2),62,12),IF(COUNTIFS($C$5:$C$265,C41,$V$5:$V$265,"Mine")=0,82,38))))</x:f>
        <x:v>62</x:v>
      </x:c>
      <x:c r="O41" s="65" t="n">
        <x:v>44.2</x:v>
      </x:c>
      <x:c r="P41" s="83" t="n">
        <x:f>MAX(0,MIN(100,100/(1+EXP(-(('Sources &amp; Model'!$B$5-F41)/MAX(2.5,I41))))))</x:f>
        <x:v>0.029933843145794795</x:v>
      </x:c>
      <x:c r="Q41" s="65" t="n">
        <x:v>68</x:v>
      </x:c>
      <x:c r="R41" s="65" t="n">
        <x:v>92</x:v>
      </x:c>
      <x:c r="S41" s="65" t="n">
        <x:v>40.2</x:v>
      </x:c>
      <x:c r="T41" s="65" t="n">
        <x:v>50.3</x:v>
      </x:c>
      <x:c r="U41" s="84" t="n">
        <x:f>IF(V41&lt;&gt;"Available","",(L41*'Sources &amp; Model'!$B$13+M41*'Sources &amp; Model'!$B$14+N41*'Sources &amp; Model'!$B$15+O41*'Sources &amp; Model'!$B$16+P41*'Sources &amp; Model'!$B$17+Q41*'Sources &amp; Model'!$B$18+R41*'Sources &amp; Model'!$B$19+S41*'Sources &amp; Model'!$B$20+T41*'Sources &amp; Model'!$B$21)/SUM('Sources &amp; Model'!$B$13:$B$21))</x:f>
        <x:v>51.26194901030506</x:v>
      </x:c>
      <x:c r="V41" s="5" t="str">
        <x:v>Available</x:v>
      </x:c>
      <x:c r="W41" t="str">
        <x:v>https://help.fantasyfootballcalculator.com/article/42-adp-rest-api</x:v>
      </x:c>
    </x:row>
    <x:row r="42">
      <x:c r="A42" s="28" t="n">
        <x:v>38</x:v>
      </x:c>
      <x:c r="B42" s="28" t="str">
        <x:v>Emeka Egbuka</x:v>
      </x:c>
      <x:c r="C42" s="28" t="str">
        <x:v>WR</x:v>
      </x:c>
      <x:c r="D42" s="28" t="str">
        <x:v>TB</x:v>
      </x:c>
      <x:c r="E42" s="81" t="n">
        <x:v>10</x:v>
      </x:c>
      <x:c r="F42" s="82" t="n">
        <x:v>37.1</x:v>
      </x:c>
      <x:c r="G42" s="82" t="n">
        <x:v>23</x:v>
      </x:c>
      <x:c r="H42" s="82" t="n">
        <x:v>53</x:v>
      </x:c>
      <x:c r="I42" s="82" t="n">
        <x:v>5.1</x:v>
      </x:c>
      <x:c r="J42" s="81" t="n">
        <x:v>1774</x:v>
      </x:c>
      <x:c r="K42" s="81" t="n">
        <x:v>3</x:v>
      </x:c>
      <x:c r="L42" s="83" t="n">
        <x:f>MAX(0,MIN(100,100-((F42-1)/(MAX($F$5:$F$265)-1))*100))</x:f>
        <x:v>80.9297411516112</x:v>
      </x:c>
      <x:c r="M42" s="83" t="n">
        <x:f>MAX(0,MIN(100,50+(('Sources &amp; Model'!$B$4-F42)/('Sources &amp; Model'!$B$6*2.5))*45))</x:f>
        <x:v>0</x:v>
      </x:c>
      <x:c r="N42" s="83" t="n">
        <x:f>IF(V42="Mine",0,IF(OR(C42="RB",C42="WR"),MAX(30,62-COUNTIFS($C$5:$C$265,C42,$V$5:$V$265,"Mine")*5),IF(OR(C42="D/ST",C42="K"),IF('Sources &amp; Model'!$B$4&gt;='Sources &amp; Model'!$B$6*('Sources &amp; Model'!$B$8-2),62,12),IF(COUNTIFS($C$5:$C$265,C42,$V$5:$V$265,"Mine")=0,82,38))))</x:f>
        <x:v>62</x:v>
      </x:c>
      <x:c r="O42" s="65" t="n">
        <x:v>63.4</x:v>
      </x:c>
      <x:c r="P42" s="83" t="n">
        <x:f>MAX(0,MIN(100,100/(1+EXP(-(('Sources &amp; Model'!$B$5-F42)/MAX(2.5,I42))))))</x:f>
        <x:v>0.08423844032659984</x:v>
      </x:c>
      <x:c r="Q42" s="65" t="n">
        <x:v>90</x:v>
      </x:c>
      <x:c r="R42" s="65" t="n">
        <x:v>52</x:v>
      </x:c>
      <x:c r="S42" s="65" t="n">
        <x:v>43.9</x:v>
      </x:c>
      <x:c r="T42" s="65" t="n">
        <x:v>49.9</x:v>
      </x:c>
      <x:c r="U42" s="84" t="n">
        <x:f>IF(V42&lt;&gt;"Available","",(L42*'Sources &amp; Model'!$B$13+M42*'Sources &amp; Model'!$B$14+N42*'Sources &amp; Model'!$B$15+O42*'Sources &amp; Model'!$B$16+P42*'Sources &amp; Model'!$B$17+Q42*'Sources &amp; Model'!$B$18+R42*'Sources &amp; Model'!$B$19+S42*'Sources &amp; Model'!$B$20+T42*'Sources &amp; Model'!$B$21)/SUM('Sources &amp; Model'!$B$13:$B$21))</x:f>
        <x:v>53.289535835580466</x:v>
      </x:c>
      <x:c r="V42" s="5" t="str">
        <x:v>Available</x:v>
      </x:c>
      <x:c r="W42" t="str">
        <x:v>https://help.fantasyfootballcalculator.com/article/42-adp-rest-api</x:v>
      </x:c>
    </x:row>
    <x:row r="43">
      <x:c r="A43" s="28" t="n">
        <x:v>39</x:v>
      </x:c>
      <x:c r="B43" s="28" t="str">
        <x:v>Javonte Williams</x:v>
      </x:c>
      <x:c r="C43" s="28" t="str">
        <x:v>RB</x:v>
      </x:c>
      <x:c r="D43" s="28" t="str">
        <x:v>DAL</x:v>
      </x:c>
      <x:c r="E43" s="81" t="n">
        <x:v>14</x:v>
      </x:c>
      <x:c r="F43" s="82" t="n">
        <x:v>37.2</x:v>
      </x:c>
      <x:c r="G43" s="82" t="n">
        <x:v>24</x:v>
      </x:c>
      <x:c r="H43" s="82" t="n">
        <x:v>52</x:v>
      </x:c>
      <x:c r="I43" s="82" t="n">
        <x:v>4.8</x:v>
      </x:c>
      <x:c r="J43" s="81" t="n">
        <x:v>1032</x:v>
      </x:c>
      <x:c r="K43" s="81" t="n">
        <x:v>3</x:v>
      </x:c>
      <x:c r="L43" s="83" t="n">
        <x:f>MAX(0,MIN(100,100-((F43-1)/(MAX($F$5:$F$265)-1))*100))</x:f>
        <x:v>80.8769149498151</x:v>
      </x:c>
      <x:c r="M43" s="83" t="n">
        <x:f>MAX(0,MIN(100,50+(('Sources &amp; Model'!$B$4-F43)/('Sources &amp; Model'!$B$6*2.5))*45))</x:f>
        <x:v>0</x:v>
      </x:c>
      <x:c r="N43" s="83" t="n">
        <x:f>IF(V43="Mine",0,IF(OR(C43="RB",C43="WR"),MAX(30,62-COUNTIFS($C$5:$C$265,C43,$V$5:$V$265,"Mine")*5),IF(OR(C43="D/ST",C43="K"),IF('Sources &amp; Model'!$B$4&gt;='Sources &amp; Model'!$B$6*('Sources &amp; Model'!$B$8-2),62,12),IF(COUNTIFS($C$5:$C$265,C43,$V$5:$V$265,"Mine")=0,82,38))))</x:f>
        <x:v>62</x:v>
      </x:c>
      <x:c r="O43" s="65" t="n">
        <x:v>64</x:v>
      </x:c>
      <x:c r="P43" s="83" t="n">
        <x:f>MAX(0,MIN(100,100/(1+EXP(-(('Sources &amp; Model'!$B$5-F43)/MAX(2.5,I43))))))</x:f>
        <x:v>0.05302314022465487</x:v>
      </x:c>
      <x:c r="Q43" s="65" t="n">
        <x:v>90</x:v>
      </x:c>
      <x:c r="R43" s="65" t="n">
        <x:v>92</x:v>
      </x:c>
      <x:c r="S43" s="65" t="n">
        <x:v>32.6</x:v>
      </x:c>
      <x:c r="T43" s="65" t="n">
        <x:v>49.7</x:v>
      </x:c>
      <x:c r="U43" s="84" t="n">
        <x:f>IF(V43&lt;&gt;"Available","",(L43*'Sources &amp; Model'!$B$13+M43*'Sources &amp; Model'!$B$14+N43*'Sources &amp; Model'!$B$15+O43*'Sources &amp; Model'!$B$16+P43*'Sources &amp; Model'!$B$17+Q43*'Sources &amp; Model'!$B$18+R43*'Sources &amp; Model'!$B$19+S43*'Sources &amp; Model'!$B$20+T43*'Sources &amp; Model'!$B$21)/SUM('Sources &amp; Model'!$B$13:$B$21))</x:f>
        <x:v>54.71245339695959</x:v>
      </x:c>
      <x:c r="V43" s="5" t="str">
        <x:v>Available</x:v>
      </x:c>
      <x:c r="W43" t="str">
        <x:v>https://help.fantasyfootballcalculator.com/article/42-adp-rest-api</x:v>
      </x:c>
    </x:row>
    <x:row r="44">
      <x:c r="A44" s="28" t="n">
        <x:v>40</x:v>
      </x:c>
      <x:c r="B44" s="28" t="str">
        <x:v>Brock Bowers</x:v>
      </x:c>
      <x:c r="C44" s="28" t="str">
        <x:v>TE</x:v>
      </x:c>
      <x:c r="D44" s="28" t="str">
        <x:v>LV</x:v>
      </x:c>
      <x:c r="E44" s="81" t="n">
        <x:v>13</x:v>
      </x:c>
      <x:c r="F44" s="82" t="n">
        <x:v>38.8</x:v>
      </x:c>
      <x:c r="G44" s="82" t="n">
        <x:v>18</x:v>
      </x:c>
      <x:c r="H44" s="82" t="n">
        <x:v>58</x:v>
      </x:c>
      <x:c r="I44" s="82" t="n">
        <x:v>7.9</x:v>
      </x:c>
      <x:c r="J44" s="81" t="n">
        <x:v>1986</x:v>
      </x:c>
      <x:c r="K44" s="81" t="n">
        <x:v>1</x:v>
      </x:c>
      <x:c r="L44" s="83" t="n">
        <x:f>MAX(0,MIN(100,100-((F44-1)/(MAX($F$5:$F$265)-1))*100))</x:f>
        <x:v>80.03169572107765</x:v>
      </x:c>
      <x:c r="M44" s="83" t="n">
        <x:f>MAX(0,MIN(100,50+(('Sources &amp; Model'!$B$4-F44)/('Sources &amp; Model'!$B$6*2.5))*45))</x:f>
        <x:v>0</x:v>
      </x:c>
      <x:c r="N44" s="83" t="n">
        <x:f>IF(V44="Mine",0,IF(OR(C44="RB",C44="WR"),MAX(30,62-COUNTIFS($C$5:$C$265,C44,$V$5:$V$265,"Mine")*5),IF(OR(C44="D/ST",C44="K"),IF('Sources &amp; Model'!$B$4&gt;='Sources &amp; Model'!$B$6*('Sources &amp; Model'!$B$8-2),62,12),IF(COUNTIFS($C$5:$C$265,C44,$V$5:$V$265,"Mine")=0,82,38))))</x:f>
        <x:v>82</x:v>
      </x:c>
      <x:c r="O44" s="65" t="n">
        <x:v>100</x:v>
      </x:c>
      <x:c r="P44" s="83" t="n">
        <x:f>MAX(0,MIN(100,100/(1+EXP(-(('Sources &amp; Model'!$B$5-F44)/MAX(2.5,I44))))))</x:f>
        <x:v>0.828647077680488</x:v>
      </x:c>
      <x:c r="Q44" s="65" t="n">
        <x:v>90</x:v>
      </x:c>
      <x:c r="R44" s="65" t="n">
        <x:v>92</x:v>
      </x:c>
      <x:c r="S44" s="65" t="n">
        <x:v>58.4</x:v>
      </x:c>
      <x:c r="T44" s="65" t="n">
        <x:v>49.8</x:v>
      </x:c>
      <x:c r="U44" s="84" t="n">
        <x:f>IF(V44&lt;&gt;"Available","",(L44*'Sources &amp; Model'!$B$13+M44*'Sources &amp; Model'!$B$14+N44*'Sources &amp; Model'!$B$15+O44*'Sources &amp; Model'!$B$16+P44*'Sources &amp; Model'!$B$17+Q44*'Sources &amp; Model'!$B$18+R44*'Sources &amp; Model'!$B$19+S44*'Sources &amp; Model'!$B$20+T44*'Sources &amp; Model'!$B$21)/SUM('Sources &amp; Model'!$B$13:$B$21))</x:f>
        <x:v>62.339641252934456</x:v>
      </x:c>
      <x:c r="V44" s="5" t="str">
        <x:v>Available</x:v>
      </x:c>
      <x:c r="W44" t="str">
        <x:v>https://help.fantasyfootballcalculator.com/article/42-adp-rest-api</x:v>
      </x:c>
    </x:row>
    <x:row r="45">
      <x:c r="A45" s="28" t="n">
        <x:v>41</x:v>
      </x:c>
      <x:c r="B45" s="28" t="str">
        <x:v>Davante Adams</x:v>
      </x:c>
      <x:c r="C45" s="28" t="str">
        <x:v>WR</x:v>
      </x:c>
      <x:c r="D45" s="28" t="str">
        <x:v>LAR</x:v>
      </x:c>
      <x:c r="E45" s="81" t="n">
        <x:v>11</x:v>
      </x:c>
      <x:c r="F45" s="82" t="n">
        <x:v>41</x:v>
      </x:c>
      <x:c r="G45" s="82" t="n">
        <x:v>29</x:v>
      </x:c>
      <x:c r="H45" s="82" t="n">
        <x:v>54</x:v>
      </x:c>
      <x:c r="I45" s="82" t="n">
        <x:v>4.3</x:v>
      </x:c>
      <x:c r="J45" s="81" t="n">
        <x:v>526</x:v>
      </x:c>
      <x:c r="K45" s="81" t="n">
        <x:v>3</x:v>
      </x:c>
      <x:c r="L45" s="83" t="n">
        <x:f>MAX(0,MIN(100,100-((F45-1)/(MAX($F$5:$F$265)-1))*100))</x:f>
        <x:v>78.86951928156365</x:v>
      </x:c>
      <x:c r="M45" s="83" t="n">
        <x:f>MAX(0,MIN(100,50+(('Sources &amp; Model'!$B$4-F45)/('Sources &amp; Model'!$B$6*2.5))*45))</x:f>
        <x:v>0</x:v>
      </x:c>
      <x:c r="N45" s="83" t="n">
        <x:f>IF(V45="Mine",0,IF(OR(C45="RB",C45="WR"),MAX(30,62-COUNTIFS($C$5:$C$265,C45,$V$5:$V$265,"Mine")*5),IF(OR(C45="D/ST",C45="K"),IF('Sources &amp; Model'!$B$4&gt;='Sources &amp; Model'!$B$6*('Sources &amp; Model'!$B$8-2),62,12),IF(COUNTIFS($C$5:$C$265,C45,$V$5:$V$265,"Mine")=0,82,38))))</x:f>
        <x:v>62</x:v>
      </x:c>
      <x:c r="O45" s="65" t="n">
        <x:v>43.1</x:v>
      </x:c>
      <x:c r="P45" s="83" t="n">
        <x:f>MAX(0,MIN(100,100/(1+EXP(-(('Sources &amp; Model'!$B$5-F45)/MAX(2.5,I45))))))</x:f>
        <x:v>0.009120354517561925</x:v>
      </x:c>
      <x:c r="Q45" s="65" t="n">
        <x:v>68</x:v>
      </x:c>
      <x:c r="R45" s="65" t="n">
        <x:v>92</x:v>
      </x:c>
      <x:c r="S45" s="65" t="n">
        <x:v>45.2</x:v>
      </x:c>
      <x:c r="T45" s="65" t="n">
        <x:v>49.9</x:v>
      </x:c>
      <x:c r="U45" s="84" t="n">
        <x:f>IF(V45&lt;&gt;"Available","",(L45*'Sources &amp; Model'!$B$13+M45*'Sources &amp; Model'!$B$14+N45*'Sources &amp; Model'!$B$15+O45*'Sources &amp; Model'!$B$16+P45*'Sources &amp; Model'!$B$17+Q45*'Sources &amp; Model'!$B$18+R45*'Sources &amp; Model'!$B$19+S45*'Sources &amp; Model'!$B$20+T45*'Sources &amp; Model'!$B$21)/SUM('Sources &amp; Model'!$B$13:$B$21))</x:f>
        <x:v>50.45154859118339</x:v>
      </x:c>
      <x:c r="V45" s="5" t="str">
        <x:v>Available</x:v>
      </x:c>
      <x:c r="W45" t="str">
        <x:v>https://help.fantasyfootballcalculator.com/article/42-adp-rest-api</x:v>
      </x:c>
    </x:row>
    <x:row r="46">
      <x:c r="A46" s="28" t="n">
        <x:v>42</x:v>
      </x:c>
      <x:c r="B46" s="28" t="str">
        <x:v>Ladd McConkey</x:v>
      </x:c>
      <x:c r="C46" s="28" t="str">
        <x:v>WR</x:v>
      </x:c>
      <x:c r="D46" s="28" t="str">
        <x:v>LAC</x:v>
      </x:c>
      <x:c r="E46" s="81" t="n">
        <x:v>7</x:v>
      </x:c>
      <x:c r="F46" s="82" t="n">
        <x:v>41.2</x:v>
      </x:c>
      <x:c r="G46" s="82" t="n">
        <x:v>25</x:v>
      </x:c>
      <x:c r="H46" s="82" t="n">
        <x:v>61</x:v>
      </x:c>
      <x:c r="I46" s="82" t="n">
        <x:v>5.9</x:v>
      </x:c>
      <x:c r="J46" s="81" t="n">
        <x:v>1615</x:v>
      </x:c>
      <x:c r="K46" s="81" t="n">
        <x:v>3</x:v>
      </x:c>
      <x:c r="L46" s="83" t="n">
        <x:f>MAX(0,MIN(100,100-((F46-1)/(MAX($F$5:$F$265)-1))*100))</x:f>
        <x:v>78.76386687797148</x:v>
      </x:c>
      <x:c r="M46" s="83" t="n">
        <x:f>MAX(0,MIN(100,50+(('Sources &amp; Model'!$B$4-F46)/('Sources &amp; Model'!$B$6*2.5))*45))</x:f>
        <x:v>0</x:v>
      </x:c>
      <x:c r="N46" s="83" t="n">
        <x:f>IF(V46="Mine",0,IF(OR(C46="RB",C46="WR"),MAX(30,62-COUNTIFS($C$5:$C$265,C46,$V$5:$V$265,"Mine")*5),IF(OR(C46="D/ST",C46="K"),IF('Sources &amp; Model'!$B$4&gt;='Sources &amp; Model'!$B$6*('Sources &amp; Model'!$B$8-2),62,12),IF(COUNTIFS($C$5:$C$265,C46,$V$5:$V$265,"Mine")=0,82,38))))</x:f>
        <x:v>62</x:v>
      </x:c>
      <x:c r="O46" s="65" t="n">
        <x:v>59.6</x:v>
      </x:c>
      <x:c r="P46" s="83" t="n">
        <x:f>MAX(0,MIN(100,100/(1+EXP(-(('Sources &amp; Model'!$B$5-F46)/MAX(2.5,I46))))))</x:f>
        <x:v>0.10975690559451622</x:v>
      </x:c>
      <x:c r="Q46" s="65" t="n">
        <x:v>90</x:v>
      </x:c>
      <x:c r="R46" s="65" t="n">
        <x:v>92</x:v>
      </x:c>
      <x:c r="S46" s="65" t="n">
        <x:v>54.4</x:v>
      </x:c>
      <x:c r="T46" s="65" t="n">
        <x:v>50.3</x:v>
      </x:c>
      <x:c r="U46" s="84" t="n">
        <x:f>IF(V46&lt;&gt;"Available","",(L46*'Sources &amp; Model'!$B$13+M46*'Sources &amp; Model'!$B$14+N46*'Sources &amp; Model'!$B$15+O46*'Sources &amp; Model'!$B$16+P46*'Sources &amp; Model'!$B$17+Q46*'Sources &amp; Model'!$B$18+R46*'Sources &amp; Model'!$B$19+S46*'Sources &amp; Model'!$B$20+T46*'Sources &amp; Model'!$B$21)/SUM('Sources &amp; Model'!$B$13:$B$21))</x:f>
        <x:v>53.91369042906976</x:v>
      </x:c>
      <x:c r="V46" s="5" t="str">
        <x:v>Available</x:v>
      </x:c>
      <x:c r="W46" t="str">
        <x:v>https://help.fantasyfootballcalculator.com/article/42-adp-rest-api</x:v>
      </x:c>
    </x:row>
    <x:row r="47">
      <x:c r="A47" s="28" t="n">
        <x:v>43</x:v>
      </x:c>
      <x:c r="B47" s="28" t="str">
        <x:v>Travis Etienne</x:v>
      </x:c>
      <x:c r="C47" s="28" t="str">
        <x:v>RB</x:v>
      </x:c>
      <x:c r="D47" s="28" t="str">
        <x:v>NO</x:v>
      </x:c>
      <x:c r="E47" s="81" t="n">
        <x:v>8</x:v>
      </x:c>
      <x:c r="F47" s="82" t="n">
        <x:v>41.2</x:v>
      </x:c>
      <x:c r="G47" s="82" t="n">
        <x:v>27</x:v>
      </x:c>
      <x:c r="H47" s="82" t="n">
        <x:v>54</x:v>
      </x:c>
      <x:c r="I47" s="82" t="n">
        <x:v>5.3</x:v>
      </x:c>
      <x:c r="J47" s="81" t="n">
        <x:v>459</x:v>
      </x:c>
      <x:c r="K47" s="81" t="n">
        <x:v>3</x:v>
      </x:c>
      <x:c r="L47" s="83" t="n">
        <x:f>MAX(0,MIN(100,100-((F47-1)/(MAX($F$5:$F$265)-1))*100))</x:f>
        <x:v>78.76386687797148</x:v>
      </x:c>
      <x:c r="M47" s="83" t="n">
        <x:f>MAX(0,MIN(100,50+(('Sources &amp; Model'!$B$4-F47)/('Sources &amp; Model'!$B$6*2.5))*45))</x:f>
        <x:v>0</x:v>
      </x:c>
      <x:c r="N47" s="83" t="n">
        <x:f>IF(V47="Mine",0,IF(OR(C47="RB",C47="WR"),MAX(30,62-COUNTIFS($C$5:$C$265,C47,$V$5:$V$265,"Mine")*5),IF(OR(C47="D/ST",C47="K"),IF('Sources &amp; Model'!$B$4&gt;='Sources &amp; Model'!$B$6*('Sources &amp; Model'!$B$8-2),62,12),IF(COUNTIFS($C$5:$C$265,C47,$V$5:$V$265,"Mine")=0,82,38))))</x:f>
        <x:v>62</x:v>
      </x:c>
      <x:c r="O47" s="65" t="n">
        <x:v>62.9</x:v>
      </x:c>
      <x:c r="P47" s="83" t="n">
        <x:f>MAX(0,MIN(100,100/(1+EXP(-(('Sources &amp; Model'!$B$5-F47)/MAX(2.5,I47))))))</x:f>
        <x:v>0.05078047198299833</x:v>
      </x:c>
      <x:c r="Q47" s="65" t="n">
        <x:v>90</x:v>
      </x:c>
      <x:c r="R47" s="65" t="n">
        <x:v>92</x:v>
      </x:c>
      <x:c r="S47" s="65" t="n">
        <x:v>47.2</x:v>
      </x:c>
      <x:c r="T47" s="65" t="n">
        <x:v>49.9</x:v>
      </x:c>
      <x:c r="U47" s="84" t="n">
        <x:f>IF(V47&lt;&gt;"Available","",(L47*'Sources &amp; Model'!$B$13+M47*'Sources &amp; Model'!$B$14+N47*'Sources &amp; Model'!$B$15+O47*'Sources &amp; Model'!$B$16+P47*'Sources &amp; Model'!$B$17+Q47*'Sources &amp; Model'!$B$18+R47*'Sources &amp; Model'!$B$19+S47*'Sources &amp; Model'!$B$20+T47*'Sources &amp; Model'!$B$21)/SUM('Sources &amp; Model'!$B$13:$B$21))</x:f>
        <x:v>54.1557927857086</x:v>
      </x:c>
      <x:c r="V47" s="5" t="str">
        <x:v>Available</x:v>
      </x:c>
      <x:c r="W47" t="str">
        <x:v>https://help.fantasyfootballcalculator.com/article/42-adp-rest-api</x:v>
      </x:c>
    </x:row>
    <x:row r="48">
      <x:c r="A48" s="28" t="n">
        <x:v>44</x:v>
      </x:c>
      <x:c r="B48" s="28" t="str">
        <x:v>Jameson Williams</x:v>
      </x:c>
      <x:c r="C48" s="28" t="str">
        <x:v>WR</x:v>
      </x:c>
      <x:c r="D48" s="28" t="str">
        <x:v>DET</x:v>
      </x:c>
      <x:c r="E48" s="81" t="n">
        <x:v>6</x:v>
      </x:c>
      <x:c r="F48" s="82" t="n">
        <x:v>44.4</x:v>
      </x:c>
      <x:c r="G48" s="82" t="n">
        <x:v>33</x:v>
      </x:c>
      <x:c r="H48" s="82" t="n">
        <x:v>60</x:v>
      </x:c>
      <x:c r="I48" s="82" t="n">
        <x:v>4.4</x:v>
      </x:c>
      <x:c r="J48" s="81" t="n">
        <x:v>336</x:v>
      </x:c>
      <x:c r="K48" s="81" t="n">
        <x:v>3</x:v>
      </x:c>
      <x:c r="L48" s="83" t="n">
        <x:f>MAX(0,MIN(100,100-((F48-1)/(MAX($F$5:$F$265)-1))*100))</x:f>
        <x:v>77.07342842049657</x:v>
      </x:c>
      <x:c r="M48" s="83" t="n">
        <x:f>MAX(0,MIN(100,50+(('Sources &amp; Model'!$B$4-F48)/('Sources &amp; Model'!$B$6*2.5))*45))</x:f>
        <x:v>0</x:v>
      </x:c>
      <x:c r="N48" s="83" t="n">
        <x:f>IF(V48="Mine",0,IF(OR(C48="RB",C48="WR"),MAX(30,62-COUNTIFS($C$5:$C$265,C48,$V$5:$V$265,"Mine")*5),IF(OR(C48="D/ST",C48="K"),IF('Sources &amp; Model'!$B$4&gt;='Sources &amp; Model'!$B$6*('Sources &amp; Model'!$B$8-2),62,12),IF(COUNTIFS($C$5:$C$265,C48,$V$5:$V$265,"Mine")=0,82,38))))</x:f>
        <x:v>62</x:v>
      </x:c>
      <x:c r="O48" s="65" t="n">
        <x:v>45.9</x:v>
      </x:c>
      <x:c r="P48" s="83" t="n">
        <x:f>MAX(0,MIN(100,100/(1+EXP(-(('Sources &amp; Model'!$B$5-F48)/MAX(2.5,I48))))))</x:f>
        <x:v>0.005203008780508426</x:v>
      </x:c>
      <x:c r="Q48" s="65" t="n">
        <x:v>68</x:v>
      </x:c>
      <x:c r="R48" s="65" t="n">
        <x:v>92</x:v>
      </x:c>
      <x:c r="S48" s="65" t="n">
        <x:v>45.2</x:v>
      </x:c>
      <x:c r="T48" s="65" t="n">
        <x:v>49.9</x:v>
      </x:c>
      <x:c r="U48" s="84" t="n">
        <x:f>IF(V48&lt;&gt;"Available","",(L48*'Sources &amp; Model'!$B$13+M48*'Sources &amp; Model'!$B$14+N48*'Sources &amp; Model'!$B$15+O48*'Sources &amp; Model'!$B$16+P48*'Sources &amp; Model'!$B$17+Q48*'Sources &amp; Model'!$B$18+R48*'Sources &amp; Model'!$B$19+S48*'Sources &amp; Model'!$B$20+T48*'Sources &amp; Model'!$B$21)/SUM('Sources &amp; Model'!$B$13:$B$21))</x:f>
        <x:v>50.17648596384688</x:v>
      </x:c>
      <x:c r="V48" s="5" t="str">
        <x:v>Available</x:v>
      </x:c>
      <x:c r="W48" t="str">
        <x:v>https://help.fantasyfootballcalculator.com/article/42-adp-rest-api</x:v>
      </x:c>
    </x:row>
    <x:row r="49">
      <x:c r="A49" s="28" t="n">
        <x:v>45</x:v>
      </x:c>
      <x:c r="B49" s="28" t="str">
        <x:v>Bucky Irving</x:v>
      </x:c>
      <x:c r="C49" s="28" t="str">
        <x:v>RB</x:v>
      </x:c>
      <x:c r="D49" s="28" t="str">
        <x:v>TB</x:v>
      </x:c>
      <x:c r="E49" s="81" t="n">
        <x:v>10</x:v>
      </x:c>
      <x:c r="F49" s="82" t="n">
        <x:v>45</x:v>
      </x:c>
      <x:c r="G49" s="82" t="n">
        <x:v>31</x:v>
      </x:c>
      <x:c r="H49" s="82" t="n">
        <x:v>58</x:v>
      </x:c>
      <x:c r="I49" s="82" t="n">
        <x:v>5.1</x:v>
      </x:c>
      <x:c r="J49" s="81" t="n">
        <x:v>478</x:v>
      </x:c>
      <x:c r="K49" s="81" t="n">
        <x:v>3</x:v>
      </x:c>
      <x:c r="L49" s="83" t="n">
        <x:f>MAX(0,MIN(100,100-((F49-1)/(MAX($F$5:$F$265)-1))*100))</x:f>
        <x:v>76.75647120972002</x:v>
      </x:c>
      <x:c r="M49" s="83" t="n">
        <x:f>MAX(0,MIN(100,50+(('Sources &amp; Model'!$B$4-F49)/('Sources &amp; Model'!$B$6*2.5))*45))</x:f>
        <x:v>0</x:v>
      </x:c>
      <x:c r="N49" s="83" t="n">
        <x:f>IF(V49="Mine",0,IF(OR(C49="RB",C49="WR"),MAX(30,62-COUNTIFS($C$5:$C$265,C49,$V$5:$V$265,"Mine")*5),IF(OR(C49="D/ST",C49="K"),IF('Sources &amp; Model'!$B$4&gt;='Sources &amp; Model'!$B$6*('Sources &amp; Model'!$B$8-2),62,12),IF(COUNTIFS($C$5:$C$265,C49,$V$5:$V$265,"Mine")=0,82,38))))</x:f>
        <x:v>62</x:v>
      </x:c>
      <x:c r="O49" s="65" t="n">
        <x:v>45.9</x:v>
      </x:c>
      <x:c r="P49" s="83" t="n">
        <x:f>MAX(0,MIN(100,100/(1+EXP(-(('Sources &amp; Model'!$B$5-F49)/MAX(2.5,I49))))))</x:f>
        <x:v>0.017908856731937733</x:v>
      </x:c>
      <x:c r="Q49" s="65" t="n">
        <x:v>90</x:v>
      </x:c>
      <x:c r="R49" s="65" t="n">
        <x:v>92</x:v>
      </x:c>
      <x:c r="S49" s="65" t="n">
        <x:v>43.9</x:v>
      </x:c>
      <x:c r="T49" s="65" t="n">
        <x:v>50.1</x:v>
      </x:c>
      <x:c r="U49" s="84" t="n">
        <x:f>IF(V49&lt;&gt;"Available","",(L49*'Sources &amp; Model'!$B$13+M49*'Sources &amp; Model'!$B$14+N49*'Sources &amp; Model'!$B$15+O49*'Sources &amp; Model'!$B$16+P49*'Sources &amp; Model'!$B$17+Q49*'Sources &amp; Model'!$B$18+R49*'Sources &amp; Model'!$B$19+S49*'Sources &amp; Model'!$B$20+T49*'Sources &amp; Model'!$B$21)/SUM('Sources &amp; Model'!$B$13:$B$21))</x:f>
        <x:v>51.36599109697801</x:v>
      </x:c>
      <x:c r="V49" s="5" t="str">
        <x:v>Available</x:v>
      </x:c>
      <x:c r="W49" t="str">
        <x:v>https://help.fantasyfootballcalculator.com/article/42-adp-rest-api</x:v>
      </x:c>
    </x:row>
    <x:row r="50">
      <x:c r="A50" s="28" t="n">
        <x:v>46</x:v>
      </x:c>
      <x:c r="B50" s="28" t="str">
        <x:v>Terry McLaurin</x:v>
      </x:c>
      <x:c r="C50" s="28" t="str">
        <x:v>WR</x:v>
      </x:c>
      <x:c r="D50" s="28" t="str">
        <x:v>WAS</x:v>
      </x:c>
      <x:c r="E50" s="81" t="n">
        <x:v>7</x:v>
      </x:c>
      <x:c r="F50" s="82" t="n">
        <x:v>45.1</x:v>
      </x:c>
      <x:c r="G50" s="82" t="n">
        <x:v>33</x:v>
      </x:c>
      <x:c r="H50" s="82" t="n">
        <x:v>63</x:v>
      </x:c>
      <x:c r="I50" s="82" t="n">
        <x:v>4.6</x:v>
      </x:c>
      <x:c r="J50" s="81" t="n">
        <x:v>620</x:v>
      </x:c>
      <x:c r="K50" s="81" t="n">
        <x:v>3</x:v>
      </x:c>
      <x:c r="L50" s="83" t="n">
        <x:f>MAX(0,MIN(100,100-((F50-1)/(MAX($F$5:$F$265)-1))*100))</x:f>
        <x:v>76.70364500792394</x:v>
      </x:c>
      <x:c r="M50" s="83" t="n">
        <x:f>MAX(0,MIN(100,50+(('Sources &amp; Model'!$B$4-F50)/('Sources &amp; Model'!$B$6*2.5))*45))</x:f>
        <x:v>0</x:v>
      </x:c>
      <x:c r="N50" s="83" t="n">
        <x:f>IF(V50="Mine",0,IF(OR(C50="RB",C50="WR"),MAX(30,62-COUNTIFS($C$5:$C$265,C50,$V$5:$V$265,"Mine")*5),IF(OR(C50="D/ST",C50="K"),IF('Sources &amp; Model'!$B$4&gt;='Sources &amp; Model'!$B$6*('Sources &amp; Model'!$B$8-2),62,12),IF(COUNTIFS($C$5:$C$265,C50,$V$5:$V$265,"Mine")=0,82,38))))</x:f>
        <x:v>62</x:v>
      </x:c>
      <x:c r="O50" s="65" t="n">
        <x:v>48.1</x:v>
      </x:c>
      <x:c r="P50" s="83" t="n">
        <x:f>MAX(0,MIN(100,100/(1+EXP(-(('Sources &amp; Model'!$B$5-F50)/MAX(2.5,I50))))))</x:f>
        <x:v>0.006861323324936825</x:v>
      </x:c>
      <x:c r="Q50" s="65" t="n">
        <x:v>90</x:v>
      </x:c>
      <x:c r="R50" s="65" t="n">
        <x:v>92</x:v>
      </x:c>
      <x:c r="S50" s="65" t="n">
        <x:v>41.1</x:v>
      </x:c>
      <x:c r="T50" s="65" t="n">
        <x:v>48.6</x:v>
      </x:c>
      <x:c r="U50" s="84" t="n">
        <x:f>IF(V50&lt;&gt;"Available","",(L50*'Sources &amp; Model'!$B$13+M50*'Sources &amp; Model'!$B$14+N50*'Sources &amp; Model'!$B$15+O50*'Sources &amp; Model'!$B$16+P50*'Sources &amp; Model'!$B$17+Q50*'Sources &amp; Model'!$B$18+R50*'Sources &amp; Model'!$B$19+S50*'Sources &amp; Model'!$B$20+T50*'Sources &amp; Model'!$B$21)/SUM('Sources &amp; Model'!$B$13:$B$21))</x:f>
        <x:v>51.53992543502663</x:v>
      </x:c>
      <x:c r="V50" s="5" t="str">
        <x:v>Available</x:v>
      </x:c>
      <x:c r="W50" t="str">
        <x:v>https://help.fantasyfootballcalculator.com/article/42-adp-rest-api</x:v>
      </x:c>
    </x:row>
    <x:row r="51">
      <x:c r="A51" s="28" t="n">
        <x:v>47</x:v>
      </x:c>
      <x:c r="B51" s="28" t="str">
        <x:v>D'Andre Swift</x:v>
      </x:c>
      <x:c r="C51" s="28" t="str">
        <x:v>RB</x:v>
      </x:c>
      <x:c r="D51" s="28" t="str">
        <x:v>CHI</x:v>
      </x:c>
      <x:c r="E51" s="81" t="n">
        <x:v>10</x:v>
      </x:c>
      <x:c r="F51" s="82" t="n">
        <x:v>45.7</x:v>
      </x:c>
      <x:c r="G51" s="82" t="n">
        <x:v>33</x:v>
      </x:c>
      <x:c r="H51" s="82" t="n">
        <x:v>59</x:v>
      </x:c>
      <x:c r="I51" s="82" t="n">
        <x:v>4.7</x:v>
      </x:c>
      <x:c r="J51" s="81" t="n">
        <x:v>629</x:v>
      </x:c>
      <x:c r="K51" s="81" t="n">
        <x:v>3</x:v>
      </x:c>
      <x:c r="L51" s="83" t="n">
        <x:f>MAX(0,MIN(100,100-((F51-1)/(MAX($F$5:$F$265)-1))*100))</x:f>
        <x:v>76.38668779714739</x:v>
      </x:c>
      <x:c r="M51" s="83" t="n">
        <x:f>MAX(0,MIN(100,50+(('Sources &amp; Model'!$B$4-F51)/('Sources &amp; Model'!$B$6*2.5))*45))</x:f>
        <x:v>0</x:v>
      </x:c>
      <x:c r="N51" s="83" t="n">
        <x:f>IF(V51="Mine",0,IF(OR(C51="RB",C51="WR"),MAX(30,62-COUNTIFS($C$5:$C$265,C51,$V$5:$V$265,"Mine")*5),IF(OR(C51="D/ST",C51="K"),IF('Sources &amp; Model'!$B$4&gt;='Sources &amp; Model'!$B$6*('Sources &amp; Model'!$B$8-2),62,12),IF(COUNTIFS($C$5:$C$265,C51,$V$5:$V$265,"Mine")=0,82,38))))</x:f>
        <x:v>62</x:v>
      </x:c>
      <x:c r="O51" s="65" t="n">
        <x:v>72.3</x:v>
      </x:c>
      <x:c r="P51" s="83" t="n">
        <x:f>MAX(0,MIN(100,100/(1+EXP(-(('Sources &amp; Model'!$B$5-F51)/MAX(2.5,I51))))))</x:f>
        <x:v>0.007405427002130731</x:v>
      </x:c>
      <x:c r="Q51" s="65" t="n">
        <x:v>90</x:v>
      </x:c>
      <x:c r="R51" s="65" t="n">
        <x:v>92</x:v>
      </x:c>
      <x:c r="S51" s="65" t="n">
        <x:v>29.9</x:v>
      </x:c>
      <x:c r="T51" s="65" t="n">
        <x:v>50.8</x:v>
      </x:c>
      <x:c r="U51" s="84" t="n">
        <x:f>IF(V51&lt;&gt;"Available","",(L51*'Sources &amp; Model'!$B$13+M51*'Sources &amp; Model'!$B$14+N51*'Sources &amp; Model'!$B$15+O51*'Sources &amp; Model'!$B$16+P51*'Sources &amp; Model'!$B$17+Q51*'Sources &amp; Model'!$B$18+R51*'Sources &amp; Model'!$B$19+S51*'Sources &amp; Model'!$B$20+T51*'Sources &amp; Model'!$B$21)/SUM('Sources &amp; Model'!$B$13:$B$21))</x:f>
        <x:v>54.13421439373033</x:v>
      </x:c>
      <x:c r="V51" s="5" t="str">
        <x:v>Available</x:v>
      </x:c>
      <x:c r="W51" t="str">
        <x:v>https://help.fantasyfootballcalculator.com/article/42-adp-rest-api</x:v>
      </x:c>
    </x:row>
    <x:row r="52">
      <x:c r="A52" s="28" t="n">
        <x:v>48</x:v>
      </x:c>
      <x:c r="B52" s="28" t="str">
        <x:v>Jaylen Waddle</x:v>
      </x:c>
      <x:c r="C52" s="28" t="str">
        <x:v>WR</x:v>
      </x:c>
      <x:c r="D52" s="28" t="str">
        <x:v>DEN</x:v>
      </x:c>
      <x:c r="E52" s="81" t="n">
        <x:v>10</x:v>
      </x:c>
      <x:c r="F52" s="82" t="n">
        <x:v>46.2</x:v>
      </x:c>
      <x:c r="G52" s="82" t="n">
        <x:v>30</x:v>
      </x:c>
      <x:c r="H52" s="82" t="n">
        <x:v>69</x:v>
      </x:c>
      <x:c r="I52" s="82" t="n">
        <x:v>5.9</x:v>
      </x:c>
      <x:c r="J52" s="81" t="n">
        <x:v>1250</x:v>
      </x:c>
      <x:c r="K52" s="81" t="n">
        <x:v>3</x:v>
      </x:c>
      <x:c r="L52" s="83" t="n">
        <x:f>MAX(0,MIN(100,100-((F52-1)/(MAX($F$5:$F$265)-1))*100))</x:f>
        <x:v>76.12255678816693</x:v>
      </x:c>
      <x:c r="M52" s="83" t="n">
        <x:f>MAX(0,MIN(100,50+(('Sources &amp; Model'!$B$4-F52)/('Sources &amp; Model'!$B$6*2.5))*45))</x:f>
        <x:v>0</x:v>
      </x:c>
      <x:c r="N52" s="83" t="n">
        <x:f>IF(V52="Mine",0,IF(OR(C52="RB",C52="WR"),MAX(30,62-COUNTIFS($C$5:$C$265,C52,$V$5:$V$265,"Mine")*5),IF(OR(C52="D/ST",C52="K"),IF('Sources &amp; Model'!$B$4&gt;='Sources &amp; Model'!$B$6*('Sources &amp; Model'!$B$8-2),62,12),IF(COUNTIFS($C$5:$C$265,C52,$V$5:$V$265,"Mine")=0,82,38))))</x:f>
        <x:v>62</x:v>
      </x:c>
      <x:c r="O52" s="65" t="n">
        <x:v>57.9</x:v>
      </x:c>
      <x:c r="P52" s="83" t="n">
        <x:f>MAX(0,MIN(100,100/(1+EXP(-(('Sources &amp; Model'!$B$5-F52)/MAX(2.5,I52))))))</x:f>
        <x:v>0.04706067837312398</x:v>
      </x:c>
      <x:c r="Q52" s="65" t="n">
        <x:v>90</x:v>
      </x:c>
      <x:c r="R52" s="65" t="n">
        <x:v>52</x:v>
      </x:c>
      <x:c r="S52" s="65" t="n">
        <x:v>36.9</x:v>
      </x:c>
      <x:c r="T52" s="65" t="n">
        <x:v>51.2</x:v>
      </x:c>
      <x:c r="U52" s="84" t="n">
        <x:f>IF(V52&lt;&gt;"Available","",(L52*'Sources &amp; Model'!$B$13+M52*'Sources &amp; Model'!$B$14+N52*'Sources &amp; Model'!$B$15+O52*'Sources &amp; Model'!$B$16+P52*'Sources &amp; Model'!$B$17+Q52*'Sources &amp; Model'!$B$18+R52*'Sources &amp; Model'!$B$19+S52*'Sources &amp; Model'!$B$20+T52*'Sources &amp; Model'!$B$21)/SUM('Sources &amp; Model'!$B$13:$B$21))</x:f>
        <x:v>50.86437537581407</x:v>
      </x:c>
      <x:c r="V52" s="5" t="str">
        <x:v>Available</x:v>
      </x:c>
      <x:c r="W52" t="str">
        <x:v>https://help.fantasyfootballcalculator.com/article/42-adp-rest-api</x:v>
      </x:c>
    </x:row>
    <x:row r="53">
      <x:c r="A53" s="28" t="n">
        <x:v>49</x:v>
      </x:c>
      <x:c r="B53" s="28" t="str">
        <x:v>Rome Odunze</x:v>
      </x:c>
      <x:c r="C53" s="28" t="str">
        <x:v>WR</x:v>
      </x:c>
      <x:c r="D53" s="28" t="str">
        <x:v>CHI</x:v>
      </x:c>
      <x:c r="E53" s="81" t="n">
        <x:v>10</x:v>
      </x:c>
      <x:c r="F53" s="82" t="n">
        <x:v>49.1</x:v>
      </x:c>
      <x:c r="G53" s="82" t="n">
        <x:v>35</x:v>
      </x:c>
      <x:c r="H53" s="82" t="n">
        <x:v>68</x:v>
      </x:c>
      <x:c r="I53" s="82" t="n">
        <x:v>5.3</x:v>
      </x:c>
      <x:c r="J53" s="81" t="n">
        <x:v>715</x:v>
      </x:c>
      <x:c r="K53" s="81" t="n">
        <x:v>4</x:v>
      </x:c>
      <x:c r="L53" s="83" t="n">
        <x:f>MAX(0,MIN(100,100-((F53-1)/(MAX($F$5:$F$265)-1))*100))</x:f>
        <x:v>74.59059693608029</x:v>
      </x:c>
      <x:c r="M53" s="83" t="n">
        <x:f>MAX(0,MIN(100,50+(('Sources &amp; Model'!$B$4-F53)/('Sources &amp; Model'!$B$6*2.5))*45))</x:f>
        <x:v>0</x:v>
      </x:c>
      <x:c r="N53" s="83" t="n">
        <x:f>IF(V53="Mine",0,IF(OR(C53="RB",C53="WR"),MAX(30,62-COUNTIFS($C$5:$C$265,C53,$V$5:$V$265,"Mine")*5),IF(OR(C53="D/ST",C53="K"),IF('Sources &amp; Model'!$B$4&gt;='Sources &amp; Model'!$B$6*('Sources &amp; Model'!$B$8-2),62,12),IF(COUNTIFS($C$5:$C$265,C53,$V$5:$V$265,"Mine")=0,82,38))))</x:f>
        <x:v>62</x:v>
      </x:c>
      <x:c r="O53" s="65" t="n">
        <x:v>54.6</x:v>
      </x:c>
      <x:c r="P53" s="83" t="n">
        <x:f>MAX(0,MIN(100,100/(1+EXP(-(('Sources &amp; Model'!$B$5-F53)/MAX(2.5,I53))))))</x:f>
        <x:v>0.011442555395682948</x:v>
      </x:c>
      <x:c r="Q53" s="65" t="n">
        <x:v>90</x:v>
      </x:c>
      <x:c r="R53" s="65" t="n">
        <x:v>92</x:v>
      </x:c>
      <x:c r="S53" s="65" t="n">
        <x:v>29.9</x:v>
      </x:c>
      <x:c r="T53" s="65" t="n">
        <x:v>49.5</x:v>
      </x:c>
      <x:c r="U53" s="84" t="n">
        <x:f>IF(V53&lt;&gt;"Available","",(L53*'Sources &amp; Model'!$B$13+M53*'Sources &amp; Model'!$B$14+N53*'Sources &amp; Model'!$B$15+O53*'Sources &amp; Model'!$B$16+P53*'Sources &amp; Model'!$B$17+Q53*'Sources &amp; Model'!$B$18+R53*'Sources &amp; Model'!$B$19+S53*'Sources &amp; Model'!$B$20+T53*'Sources &amp; Model'!$B$21)/SUM('Sources &amp; Model'!$B$13:$B$21))</x:f>
        <x:v>51.38694721380687</x:v>
      </x:c>
      <x:c r="V53" s="5" t="str">
        <x:v>Available</x:v>
      </x:c>
      <x:c r="W53" t="str">
        <x:v>https://help.fantasyfootballcalculator.com/article/42-adp-rest-api</x:v>
      </x:c>
    </x:row>
    <x:row r="54">
      <x:c r="A54" s="28" t="n">
        <x:v>50</x:v>
      </x:c>
      <x:c r="B54" s="28" t="str">
        <x:v>Drake Maye</x:v>
      </x:c>
      <x:c r="C54" s="28" t="str">
        <x:v>QB</x:v>
      </x:c>
      <x:c r="D54" s="28" t="str">
        <x:v>NE</x:v>
      </x:c>
      <x:c r="E54" s="81" t="n">
        <x:v>11</x:v>
      </x:c>
      <x:c r="F54" s="82" t="n">
        <x:v>50</x:v>
      </x:c>
      <x:c r="G54" s="82" t="n">
        <x:v>32</x:v>
      </x:c>
      <x:c r="H54" s="82" t="n">
        <x:v>67</x:v>
      </x:c>
      <x:c r="I54" s="82" t="n">
        <x:v>6.6</x:v>
      </x:c>
      <x:c r="J54" s="81" t="n">
        <x:v>327</x:v>
      </x:c>
      <x:c r="K54" s="81" t="n">
        <x:v>2</x:v>
      </x:c>
      <x:c r="L54" s="83" t="n">
        <x:f>MAX(0,MIN(100,100-((F54-1)/(MAX($F$5:$F$265)-1))*100))</x:f>
        <x:v>74.11516111991548</x:v>
      </x:c>
      <x:c r="M54" s="83" t="n">
        <x:f>MAX(0,MIN(100,50+(('Sources &amp; Model'!$B$4-F54)/('Sources &amp; Model'!$B$6*2.5))*45))</x:f>
        <x:v>0</x:v>
      </x:c>
      <x:c r="N54" s="83" t="n">
        <x:f>IF(V54="Mine",0,IF(OR(C54="RB",C54="WR"),MAX(30,62-COUNTIFS($C$5:$C$265,C54,$V$5:$V$265,"Mine")*5),IF(OR(C54="D/ST",C54="K"),IF('Sources &amp; Model'!$B$4&gt;='Sources &amp; Model'!$B$6*('Sources &amp; Model'!$B$8-2),62,12),IF(COUNTIFS($C$5:$C$265,C54,$V$5:$V$265,"Mine")=0,82,38))))</x:f>
        <x:v>82</x:v>
      </x:c>
      <x:c r="O54" s="65" t="n">
        <x:v>70.1</x:v>
      </x:c>
      <x:c r="P54" s="83" t="n">
        <x:f>MAX(0,MIN(100,100/(1+EXP(-(('Sources &amp; Model'!$B$5-F54)/MAX(2.5,I54))))))</x:f>
        <x:v>0.059625695036998154</x:v>
      </x:c>
      <x:c r="Q54" s="65" t="n">
        <x:v>90</x:v>
      </x:c>
      <x:c r="R54" s="65" t="n">
        <x:v>92</x:v>
      </x:c>
      <x:c r="S54" s="65" t="n">
        <x:v>40.6</x:v>
      </x:c>
      <x:c r="T54" s="65" t="n">
        <x:v>49.9</x:v>
      </x:c>
      <x:c r="U54" s="84" t="n">
        <x:f>IF(V54&lt;&gt;"Available","",(L54*'Sources &amp; Model'!$B$13+M54*'Sources &amp; Model'!$B$14+N54*'Sources &amp; Model'!$B$15+O54*'Sources &amp; Model'!$B$16+P54*'Sources &amp; Model'!$B$17+Q54*'Sources &amp; Model'!$B$18+R54*'Sources &amp; Model'!$B$19+S54*'Sources &amp; Model'!$B$20+T54*'Sources &amp; Model'!$B$21)/SUM('Sources &amp; Model'!$B$13:$B$21))</x:f>
        <x:v>56.30811735027496</x:v>
      </x:c>
      <x:c r="V54" s="5" t="str">
        <x:v>Available</x:v>
      </x:c>
      <x:c r="W54" t="str">
        <x:v>https://help.fantasyfootballcalculator.com/article/42-adp-rest-api</x:v>
      </x:c>
    </x:row>
    <x:row r="55">
      <x:c r="A55" s="28" t="n">
        <x:v>51</x:v>
      </x:c>
      <x:c r="B55" s="28" t="str">
        <x:v>Quinshon Judkins</x:v>
      </x:c>
      <x:c r="C55" s="28" t="str">
        <x:v>RB</x:v>
      </x:c>
      <x:c r="D55" s="28" t="str">
        <x:v>CLE</x:v>
      </x:c>
      <x:c r="E55" s="81" t="n">
        <x:v>11</x:v>
      </x:c>
      <x:c r="F55" s="82" t="n">
        <x:v>51.2</x:v>
      </x:c>
      <x:c r="G55" s="82" t="n">
        <x:v>36</x:v>
      </x:c>
      <x:c r="H55" s="82" t="n">
        <x:v>65</x:v>
      </x:c>
      <x:c r="I55" s="82" t="n">
        <x:v>5.7</x:v>
      </x:c>
      <x:c r="J55" s="81" t="n">
        <x:v>895</x:v>
      </x:c>
      <x:c r="K55" s="81" t="n">
        <x:v>3</x:v>
      </x:c>
      <x:c r="L55" s="83" t="n">
        <x:f>MAX(0,MIN(100,100-((F55-1)/(MAX($F$5:$F$265)-1))*100))</x:f>
        <x:v>73.48124669836238</x:v>
      </x:c>
      <x:c r="M55" s="83" t="n">
        <x:f>MAX(0,MIN(100,50+(('Sources &amp; Model'!$B$4-F55)/('Sources &amp; Model'!$B$6*2.5))*45))</x:f>
        <x:v>0</x:v>
      </x:c>
      <x:c r="N55" s="83" t="n">
        <x:f>IF(V55="Mine",0,IF(OR(C55="RB",C55="WR"),MAX(30,62-COUNTIFS($C$5:$C$265,C55,$V$5:$V$265,"Mine")*5),IF(OR(C55="D/ST",C55="K"),IF('Sources &amp; Model'!$B$4&gt;='Sources &amp; Model'!$B$6*('Sources &amp; Model'!$B$8-2),62,12),IF(COUNTIFS($C$5:$C$265,C55,$V$5:$V$265,"Mine")=0,82,38))))</x:f>
        <x:v>62</x:v>
      </x:c>
      <x:c r="O55" s="65" t="n">
        <x:v>58.5</x:v>
      </x:c>
      <x:c r="P55" s="83" t="n">
        <x:f>MAX(0,MIN(100,100/(1+EXP(-(('Sources &amp; Model'!$B$5-F55)/MAX(2.5,I55))))))</x:f>
        <x:v>0.014965660150711164</x:v>
      </x:c>
      <x:c r="Q55" s="65" t="n">
        <x:v>90</x:v>
      </x:c>
      <x:c r="R55" s="65" t="n">
        <x:v>92</x:v>
      </x:c>
      <x:c r="S55" s="65" t="n">
        <x:v>49.4</x:v>
      </x:c>
      <x:c r="T55" s="65" t="n">
        <x:v>50</x:v>
      </x:c>
      <x:c r="U55" s="84" t="n">
        <x:f>IF(V55&lt;&gt;"Available","",(L55*'Sources &amp; Model'!$B$13+M55*'Sources &amp; Model'!$B$14+N55*'Sources &amp; Model'!$B$15+O55*'Sources &amp; Model'!$B$16+P55*'Sources &amp; Model'!$B$17+Q55*'Sources &amp; Model'!$B$18+R55*'Sources &amp; Model'!$B$19+S55*'Sources &amp; Model'!$B$20+T55*'Sources &amp; Model'!$B$21)/SUM('Sources &amp; Model'!$B$13:$B$21))</x:f>
        <x:v>51.87312044345828</x:v>
      </x:c>
      <x:c r="V55" s="5" t="str">
        <x:v>Available</x:v>
      </x:c>
      <x:c r="W55" t="str">
        <x:v>https://help.fantasyfootballcalculator.com/article/42-adp-rest-api</x:v>
      </x:c>
    </x:row>
    <x:row r="56">
      <x:c r="A56" s="28" t="n">
        <x:v>52</x:v>
      </x:c>
      <x:c r="B56" s="28" t="str">
        <x:v>DJ Moore</x:v>
      </x:c>
      <x:c r="C56" s="28" t="str">
        <x:v>WR</x:v>
      </x:c>
      <x:c r="D56" s="28" t="str">
        <x:v>BUF</x:v>
      </x:c>
      <x:c r="E56" s="81" t="n">
        <x:v>7</x:v>
      </x:c>
      <x:c r="F56" s="82" t="n">
        <x:v>51.4</x:v>
      </x:c>
      <x:c r="G56" s="82" t="n">
        <x:v>35</x:v>
      </x:c>
      <x:c r="H56" s="82" t="n">
        <x:v>71</x:v>
      </x:c>
      <x:c r="I56" s="82" t="n">
        <x:v>6.1</x:v>
      </x:c>
      <x:c r="J56" s="81" t="n">
        <x:v>1441</x:v>
      </x:c>
      <x:c r="K56" s="81" t="n">
        <x:v>4</x:v>
      </x:c>
      <x:c r="L56" s="83" t="n">
        <x:f>MAX(0,MIN(100,100-((F56-1)/(MAX($F$5:$F$265)-1))*100))</x:f>
        <x:v>73.37559429477021</x:v>
      </x:c>
      <x:c r="M56" s="83" t="n">
        <x:f>MAX(0,MIN(100,50+(('Sources &amp; Model'!$B$4-F56)/('Sources &amp; Model'!$B$6*2.5))*45))</x:f>
        <x:v>0</x:v>
      </x:c>
      <x:c r="N56" s="83" t="n">
        <x:f>IF(V56="Mine",0,IF(OR(C56="RB",C56="WR"),MAX(30,62-COUNTIFS($C$5:$C$265,C56,$V$5:$V$265,"Mine")*5),IF(OR(C56="D/ST",C56="K"),IF('Sources &amp; Model'!$B$4&gt;='Sources &amp; Model'!$B$6*('Sources &amp; Model'!$B$8-2),62,12),IF(COUNTIFS($C$5:$C$265,C56,$V$5:$V$265,"Mine")=0,82,38))))</x:f>
        <x:v>62</x:v>
      </x:c>
      <x:c r="O56" s="65" t="n">
        <x:v>66.2</x:v>
      </x:c>
      <x:c r="P56" s="83" t="n">
        <x:f>MAX(0,MIN(100,100/(1+EXP(-(('Sources &amp; Model'!$B$5-F56)/MAX(2.5,I56))))))</x:f>
        <x:v>0.02579994474524169</x:v>
      </x:c>
      <x:c r="Q56" s="65" t="n">
        <x:v>90</x:v>
      </x:c>
      <x:c r="R56" s="65" t="n">
        <x:v>52</x:v>
      </x:c>
      <x:c r="S56" s="65" t="n">
        <x:v>30.8</x:v>
      </x:c>
      <x:c r="T56" s="65" t="n">
        <x:v>50.1</x:v>
      </x:c>
      <x:c r="U56" s="84" t="n">
        <x:f>IF(V56&lt;&gt;"Available","",(L56*'Sources &amp; Model'!$B$13+M56*'Sources &amp; Model'!$B$14+N56*'Sources &amp; Model'!$B$15+O56*'Sources &amp; Model'!$B$16+P56*'Sources &amp; Model'!$B$17+Q56*'Sources &amp; Model'!$B$18+R56*'Sources &amp; Model'!$B$19+S56*'Sources &amp; Model'!$B$20+T56*'Sources &amp; Model'!$B$21)/SUM('Sources &amp; Model'!$B$13:$B$21))</x:f>
        <x:v>50.7912820546964</x:v>
      </x:c>
      <x:c r="V56" s="5" t="str">
        <x:v>Available</x:v>
      </x:c>
      <x:c r="W56" t="str">
        <x:v>https://help.fantasyfootballcalculator.com/article/42-adp-rest-api</x:v>
      </x:c>
    </x:row>
    <x:row r="57">
      <x:c r="A57" s="28" t="n">
        <x:v>53</x:v>
      </x:c>
      <x:c r="B57" s="28" t="str">
        <x:v>Bhayshul Tuten</x:v>
      </x:c>
      <x:c r="C57" s="28" t="str">
        <x:v>RB</x:v>
      </x:c>
      <x:c r="D57" s="28" t="str">
        <x:v>JAX</x:v>
      </x:c>
      <x:c r="E57" s="81" t="n">
        <x:v>7</x:v>
      </x:c>
      <x:c r="F57" s="82" t="n">
        <x:v>54.2</x:v>
      </x:c>
      <x:c r="G57" s="82" t="n">
        <x:v>39</x:v>
      </x:c>
      <x:c r="H57" s="82" t="n">
        <x:v>69</x:v>
      </x:c>
      <x:c r="I57" s="82" t="n">
        <x:v>5.8</x:v>
      </x:c>
      <x:c r="J57" s="81" t="n">
        <x:v>902</x:v>
      </x:c>
      <x:c r="K57" s="81" t="n">
        <x:v>3</x:v>
      </x:c>
      <x:c r="L57" s="83" t="n">
        <x:f>MAX(0,MIN(100,100-((F57-1)/(MAX($F$5:$F$265)-1))*100))</x:f>
        <x:v>71.89646064447966</x:v>
      </x:c>
      <x:c r="M57" s="83" t="n">
        <x:f>MAX(0,MIN(100,50+(('Sources &amp; Model'!$B$4-F57)/('Sources &amp; Model'!$B$6*2.5))*45))</x:f>
        <x:v>0</x:v>
      </x:c>
      <x:c r="N57" s="83" t="n">
        <x:f>IF(V57="Mine",0,IF(OR(C57="RB",C57="WR"),MAX(30,62-COUNTIFS($C$5:$C$265,C57,$V$5:$V$265,"Mine")*5),IF(OR(C57="D/ST",C57="K"),IF('Sources &amp; Model'!$B$4&gt;='Sources &amp; Model'!$B$6*('Sources &amp; Model'!$B$8-2),62,12),IF(COUNTIFS($C$5:$C$265,C57,$V$5:$V$265,"Mine")=0,82,38))))</x:f>
        <x:v>62</x:v>
      </x:c>
      <x:c r="O57" s="65" t="n">
        <x:v>66.8</x:v>
      </x:c>
      <x:c r="P57" s="83" t="n">
        <x:f>MAX(0,MIN(100,100/(1+EXP(-(('Sources &amp; Model'!$B$5-F57)/MAX(2.5,I57))))))</x:f>
        <x:v>0.010385471016491496</x:v>
      </x:c>
      <x:c r="Q57" s="65" t="n">
        <x:v>90</x:v>
      </x:c>
      <x:c r="R57" s="65" t="n">
        <x:v>92</x:v>
      </x:c>
      <x:c r="S57" s="65" t="n">
        <x:v>38.4</x:v>
      </x:c>
      <x:c r="T57" s="65" t="n">
        <x:v>50</x:v>
      </x:c>
      <x:c r="U57" s="84" t="n">
        <x:f>IF(V57&lt;&gt;"Available","",(L57*'Sources &amp; Model'!$B$13+M57*'Sources &amp; Model'!$B$14+N57*'Sources &amp; Model'!$B$15+O57*'Sources &amp; Model'!$B$16+P57*'Sources &amp; Model'!$B$17+Q57*'Sources &amp; Model'!$B$18+R57*'Sources &amp; Model'!$B$19+S57*'Sources &amp; Model'!$B$20+T57*'Sources &amp; Model'!$B$21)/SUM('Sources &amp; Model'!$B$13:$B$21))</x:f>
        <x:v>52.10983516622474</x:v>
      </x:c>
      <x:c r="V57" s="5" t="str">
        <x:v>Available</x:v>
      </x:c>
      <x:c r="W57" t="str">
        <x:v>https://help.fantasyfootballcalculator.com/article/42-adp-rest-api</x:v>
      </x:c>
    </x:row>
    <x:row r="58">
      <x:c r="A58" s="28" t="n">
        <x:v>54</x:v>
      </x:c>
      <x:c r="B58" s="28" t="str">
        <x:v>Lamar Jackson</x:v>
      </x:c>
      <x:c r="C58" s="28" t="str">
        <x:v>QB</x:v>
      </x:c>
      <x:c r="D58" s="28" t="str">
        <x:v>BAL</x:v>
      </x:c>
      <x:c r="E58" s="81" t="n">
        <x:v>13</x:v>
      </x:c>
      <x:c r="F58" s="82" t="n">
        <x:v>55.1</x:v>
      </x:c>
      <x:c r="G58" s="82" t="n">
        <x:v>36</x:v>
      </x:c>
      <x:c r="H58" s="82" t="n">
        <x:v>70</x:v>
      </x:c>
      <x:c r="I58" s="82" t="n">
        <x:v>7.3</x:v>
      </x:c>
      <x:c r="J58" s="81" t="n">
        <x:v>633</x:v>
      </x:c>
      <x:c r="K58" s="81" t="n">
        <x:v>2</x:v>
      </x:c>
      <x:c r="L58" s="83" t="n">
        <x:f>MAX(0,MIN(100,100-((F58-1)/(MAX($F$5:$F$265)-1))*100))</x:f>
        <x:v>71.42102482831484</x:v>
      </x:c>
      <x:c r="M58" s="83" t="n">
        <x:f>MAX(0,MIN(100,50+(('Sources &amp; Model'!$B$4-F58)/('Sources &amp; Model'!$B$6*2.5))*45))</x:f>
        <x:v>0</x:v>
      </x:c>
      <x:c r="N58" s="83" t="n">
        <x:f>IF(V58="Mine",0,IF(OR(C58="RB",C58="WR"),MAX(30,62-COUNTIFS($C$5:$C$265,C58,$V$5:$V$265,"Mine")*5),IF(OR(C58="D/ST",C58="K"),IF('Sources &amp; Model'!$B$4&gt;='Sources &amp; Model'!$B$6*('Sources &amp; Model'!$B$8-2),62,12),IF(COUNTIFS($C$5:$C$265,C58,$V$5:$V$265,"Mine")=0,82,38))))</x:f>
        <x:v>82</x:v>
      </x:c>
      <x:c r="O58" s="65" t="n">
        <x:v>47.5</x:v>
      </x:c>
      <x:c r="P58" s="83" t="n">
        <x:f>MAX(0,MIN(100,100/(1+EXP(-(('Sources &amp; Model'!$B$5-F58)/MAX(2.5,I58))))))</x:f>
        <x:v>0.060422536298824506</x:v>
      </x:c>
      <x:c r="Q58" s="65" t="n">
        <x:v>90</x:v>
      </x:c>
      <x:c r="R58" s="65" t="n">
        <x:v>92</x:v>
      </x:c>
      <x:c r="S58" s="65" t="n">
        <x:v>31.7</x:v>
      </x:c>
      <x:c r="T58" s="65" t="n">
        <x:v>49.8</x:v>
      </x:c>
      <x:c r="U58" s="84" t="n">
        <x:f>IF(V58&lt;&gt;"Available","",(L58*'Sources &amp; Model'!$B$13+M58*'Sources &amp; Model'!$B$14+N58*'Sources &amp; Model'!$B$15+O58*'Sources &amp; Model'!$B$16+P58*'Sources &amp; Model'!$B$17+Q58*'Sources &amp; Model'!$B$18+R58*'Sources &amp; Model'!$B$19+S58*'Sources &amp; Model'!$B$20+T58*'Sources &amp; Model'!$B$21)/SUM('Sources &amp; Model'!$B$13:$B$21))</x:f>
        <x:v>52.50119069525693</x:v>
      </x:c>
      <x:c r="V58" s="5" t="str">
        <x:v>Available</x:v>
      </x:c>
      <x:c r="W58" t="str">
        <x:v>https://help.fantasyfootballcalculator.com/article/42-adp-rest-api</x:v>
      </x:c>
    </x:row>
    <x:row r="59">
      <x:c r="A59" s="28" t="n">
        <x:v>55</x:v>
      </x:c>
      <x:c r="B59" s="28" t="str">
        <x:v>Mike Evans</x:v>
      </x:c>
      <x:c r="C59" s="28" t="str">
        <x:v>WR</x:v>
      </x:c>
      <x:c r="D59" s="28" t="str">
        <x:v>SF</x:v>
      </x:c>
      <x:c r="E59" s="81" t="n">
        <x:v>8</x:v>
      </x:c>
      <x:c r="F59" s="82" t="n">
        <x:v>55.8</x:v>
      </x:c>
      <x:c r="G59" s="82" t="n">
        <x:v>36</x:v>
      </x:c>
      <x:c r="H59" s="82" t="n">
        <x:v>80</x:v>
      </x:c>
      <x:c r="I59" s="82" t="n">
        <x:v>7.4</x:v>
      </x:c>
      <x:c r="J59" s="81" t="n">
        <x:v>1024</x:v>
      </x:c>
      <x:c r="K59" s="81" t="n">
        <x:v>4</x:v>
      </x:c>
      <x:c r="L59" s="83" t="n">
        <x:f>MAX(0,MIN(100,100-((F59-1)/(MAX($F$5:$F$265)-1))*100))</x:f>
        <x:v>71.05124141574221</x:v>
      </x:c>
      <x:c r="M59" s="83" t="n">
        <x:f>MAX(0,MIN(100,50+(('Sources &amp; Model'!$B$4-F59)/('Sources &amp; Model'!$B$6*2.5))*45))</x:f>
        <x:v>0</x:v>
      </x:c>
      <x:c r="N59" s="83" t="n">
        <x:f>IF(V59="Mine",0,IF(OR(C59="RB",C59="WR"),MAX(30,62-COUNTIFS($C$5:$C$265,C59,$V$5:$V$265,"Mine")*5),IF(OR(C59="D/ST",C59="K"),IF('Sources &amp; Model'!$B$4&gt;='Sources &amp; Model'!$B$6*('Sources &amp; Model'!$B$8-2),62,12),IF(COUNTIFS($C$5:$C$265,C59,$V$5:$V$265,"Mine")=0,82,38))))</x:f>
        <x:v>62</x:v>
      </x:c>
      <x:c r="O59" s="65" t="n">
        <x:v>49.2</x:v>
      </x:c>
      <x:c r="P59" s="83" t="n">
        <x:f>MAX(0,MIN(100,100/(1+EXP(-(('Sources &amp; Model'!$B$5-F59)/MAX(2.5,I59))))))</x:f>
        <x:v>0.06075882181199137</x:v>
      </x:c>
      <x:c r="Q59" s="65" t="n">
        <x:v>90</x:v>
      </x:c>
      <x:c r="R59" s="65" t="n">
        <x:v>92</x:v>
      </x:c>
      <x:c r="S59" s="65" t="n">
        <x:v>39.3</x:v>
      </x:c>
      <x:c r="T59" s="65" t="n">
        <x:v>51.2</x:v>
      </x:c>
      <x:c r="U59" s="84" t="n">
        <x:f>IF(V59&lt;&gt;"Available","",(L59*'Sources &amp; Model'!$B$13+M59*'Sources &amp; Model'!$B$14+N59*'Sources &amp; Model'!$B$15+O59*'Sources &amp; Model'!$B$16+P59*'Sources &amp; Model'!$B$17+Q59*'Sources &amp; Model'!$B$18+R59*'Sources &amp; Model'!$B$19+S59*'Sources &amp; Model'!$B$20+T59*'Sources &amp; Model'!$B$21)/SUM('Sources &amp; Model'!$B$13:$B$21))</x:f>
        <x:v>49.74549796353355</x:v>
      </x:c>
      <x:c r="V59" s="5" t="str">
        <x:v>Available</x:v>
      </x:c>
      <x:c r="W59" t="str">
        <x:v>https://help.fantasyfootballcalculator.com/article/42-adp-rest-api</x:v>
      </x:c>
    </x:row>
    <x:row r="60">
      <x:c r="A60" s="28" t="n">
        <x:v>56</x:v>
      </x:c>
      <x:c r="B60" s="28" t="str">
        <x:v>Joe Burrow</x:v>
      </x:c>
      <x:c r="C60" s="28" t="str">
        <x:v>QB</x:v>
      </x:c>
      <x:c r="D60" s="28" t="str">
        <x:v>CIN</x:v>
      </x:c>
      <x:c r="E60" s="81" t="n">
        <x:v>6</x:v>
      </x:c>
      <x:c r="F60" s="82" t="n">
        <x:v>56.1</x:v>
      </x:c>
      <x:c r="G60" s="82" t="n">
        <x:v>36</x:v>
      </x:c>
      <x:c r="H60" s="82" t="n">
        <x:v>77</x:v>
      </x:c>
      <x:c r="I60" s="82" t="n">
        <x:v>7.6</x:v>
      </x:c>
      <x:c r="J60" s="81" t="n">
        <x:v>583</x:v>
      </x:c>
      <x:c r="K60" s="81" t="n">
        <x:v>2</x:v>
      </x:c>
      <x:c r="L60" s="83" t="n">
        <x:f>MAX(0,MIN(100,100-((F60-1)/(MAX($F$5:$F$265)-1))*100))</x:f>
        <x:v>70.89276281035393</x:v>
      </x:c>
      <x:c r="M60" s="83" t="n">
        <x:f>MAX(0,MIN(100,50+(('Sources &amp; Model'!$B$4-F60)/('Sources &amp; Model'!$B$6*2.5))*45))</x:f>
        <x:v>0</x:v>
      </x:c>
      <x:c r="N60" s="83" t="n">
        <x:f>IF(V60="Mine",0,IF(OR(C60="RB",C60="WR"),MAX(30,62-COUNTIFS($C$5:$C$265,C60,$V$5:$V$265,"Mine")*5),IF(OR(C60="D/ST",C60="K"),IF('Sources &amp; Model'!$B$4&gt;='Sources &amp; Model'!$B$6*('Sources &amp; Model'!$B$8-2),62,12),IF(COUNTIFS($C$5:$C$265,C60,$V$5:$V$265,"Mine")=0,82,38))))</x:f>
        <x:v>82</x:v>
      </x:c>
      <x:c r="O60" s="65" t="n">
        <x:v>95.3</x:v>
      </x:c>
      <x:c r="P60" s="83" t="n">
        <x:f>MAX(0,MIN(100,100/(1+EXP(-(('Sources &amp; Model'!$B$5-F60)/MAX(2.5,I60))))))</x:f>
        <x:v>0.07096703991005876</x:v>
      </x:c>
      <x:c r="Q60" s="65" t="n">
        <x:v>90</x:v>
      </x:c>
      <x:c r="R60" s="65" t="n">
        <x:v>92</x:v>
      </x:c>
      <x:c r="S60" s="65" t="n">
        <x:v>40.2</x:v>
      </x:c>
      <x:c r="T60" s="65" t="n">
        <x:v>50.1</x:v>
      </x:c>
      <x:c r="U60" s="84" t="n">
        <x:f>IF(V60&lt;&gt;"Available","",(L60*'Sources &amp; Model'!$B$13+M60*'Sources &amp; Model'!$B$14+N60*'Sources &amp; Model'!$B$15+O60*'Sources &amp; Model'!$B$16+P60*'Sources &amp; Model'!$B$17+Q60*'Sources &amp; Model'!$B$18+R60*'Sources &amp; Model'!$B$19+S60*'Sources &amp; Model'!$B$20+T60*'Sources &amp; Model'!$B$21)/SUM('Sources &amp; Model'!$B$13:$B$21))</x:f>
        <x:v>58.231636059511345</x:v>
      </x:c>
      <x:c r="V60" s="5" t="str">
        <x:v>Available</x:v>
      </x:c>
      <x:c r="W60" t="str">
        <x:v>https://help.fantasyfootballcalculator.com/article/42-adp-rest-api</x:v>
      </x:c>
    </x:row>
    <x:row r="61">
      <x:c r="A61" s="28" t="n">
        <x:v>57</x:v>
      </x:c>
      <x:c r="B61" s="28" t="str">
        <x:v>Luther Burden</x:v>
      </x:c>
      <x:c r="C61" s="28" t="str">
        <x:v>WR</x:v>
      </x:c>
      <x:c r="D61" s="28" t="str">
        <x:v>CHI</x:v>
      </x:c>
      <x:c r="E61" s="81" t="n">
        <x:v>10</x:v>
      </x:c>
      <x:c r="F61" s="82" t="n">
        <x:v>57.1</x:v>
      </x:c>
      <x:c r="G61" s="82" t="n">
        <x:v>37</x:v>
      </x:c>
      <x:c r="H61" s="82" t="n">
        <x:v>83</x:v>
      </x:c>
      <x:c r="I61" s="82" t="n">
        <x:v>7.5</x:v>
      </x:c>
      <x:c r="J61" s="81" t="n">
        <x:v>970</x:v>
      </x:c>
      <x:c r="K61" s="81" t="n">
        <x:v>4</x:v>
      </x:c>
      <x:c r="L61" s="83" t="n">
        <x:f>MAX(0,MIN(100,100-((F61-1)/(MAX($F$5:$F$265)-1))*100))</x:f>
        <x:v>70.36450079239302</x:v>
      </x:c>
      <x:c r="M61" s="83" t="n">
        <x:f>MAX(0,MIN(100,50+(('Sources &amp; Model'!$B$4-F61)/('Sources &amp; Model'!$B$6*2.5))*45))</x:f>
        <x:v>0</x:v>
      </x:c>
      <x:c r="N61" s="83" t="n">
        <x:f>IF(V61="Mine",0,IF(OR(C61="RB",C61="WR"),MAX(30,62-COUNTIFS($C$5:$C$265,C61,$V$5:$V$265,"Mine")*5),IF(OR(C61="D/ST",C61="K"),IF('Sources &amp; Model'!$B$4&gt;='Sources &amp; Model'!$B$6*('Sources &amp; Model'!$B$8-2),62,12),IF(COUNTIFS($C$5:$C$265,C61,$V$5:$V$265,"Mine")=0,82,38))))</x:f>
        <x:v>62</x:v>
      </x:c>
      <x:c r="O61" s="65" t="n">
        <x:v>46.9</x:v>
      </x:c>
      <x:c r="P61" s="83" t="n">
        <x:f>MAX(0,MIN(100,100/(1+EXP(-(('Sources &amp; Model'!$B$5-F61)/MAX(2.5,I61))))))</x:f>
        <x:v>0.0563939208692237</x:v>
      </x:c>
      <x:c r="Q61" s="65" t="n">
        <x:v>68</x:v>
      </x:c>
      <x:c r="R61" s="65" t="n">
        <x:v>52</x:v>
      </x:c>
      <x:c r="S61" s="65" t="n">
        <x:v>29.9</x:v>
      </x:c>
      <x:c r="T61" s="65" t="n">
        <x:v>50</x:v>
      </x:c>
      <x:c r="U61" s="84" t="n">
        <x:f>IF(V61&lt;&gt;"Available","",(L61*'Sources &amp; Model'!$B$13+M61*'Sources &amp; Model'!$B$14+N61*'Sources &amp; Model'!$B$15+O61*'Sources &amp; Model'!$B$16+P61*'Sources &amp; Model'!$B$17+Q61*'Sources &amp; Model'!$B$18+R61*'Sources &amp; Model'!$B$19+S61*'Sources &amp; Model'!$B$20+T61*'Sources &amp; Model'!$B$21)/SUM('Sources &amp; Model'!$B$13:$B$21))</x:f>
        <x:v>46.11556966150055</x:v>
      </x:c>
      <x:c r="V61" s="5" t="str">
        <x:v>Available</x:v>
      </x:c>
      <x:c r="W61" t="str">
        <x:v>https://help.fantasyfootballcalculator.com/article/42-adp-rest-api</x:v>
      </x:c>
    </x:row>
    <x:row r="62">
      <x:c r="A62" s="28" t="n">
        <x:v>58</x:v>
      </x:c>
      <x:c r="B62" s="28" t="str">
        <x:v>Alec Pierce</x:v>
      </x:c>
      <x:c r="C62" s="28" t="str">
        <x:v>WR</x:v>
      </x:c>
      <x:c r="D62" s="28" t="str">
        <x:v>IND</x:v>
      </x:c>
      <x:c r="E62" s="81" t="n">
        <x:v>13</x:v>
      </x:c>
      <x:c r="F62" s="82" t="n">
        <x:v>58</x:v>
      </x:c>
      <x:c r="G62" s="82" t="n">
        <x:v>42</x:v>
      </x:c>
      <x:c r="H62" s="82" t="n">
        <x:v>81</x:v>
      </x:c>
      <x:c r="I62" s="82" t="n">
        <x:v>6.7</x:v>
      </x:c>
      <x:c r="J62" s="81" t="n">
        <x:v>289</x:v>
      </x:c>
      <x:c r="K62" s="81" t="n">
        <x:v>4</x:v>
      </x:c>
      <x:c r="L62" s="83" t="n">
        <x:f>MAX(0,MIN(100,100-((F62-1)/(MAX($F$5:$F$265)-1))*100))</x:f>
        <x:v>69.88906497622821</x:v>
      </x:c>
      <x:c r="M62" s="83" t="n">
        <x:f>MAX(0,MIN(100,50+(('Sources &amp; Model'!$B$4-F62)/('Sources &amp; Model'!$B$6*2.5))*45))</x:f>
        <x:v>0</x:v>
      </x:c>
      <x:c r="N62" s="83" t="n">
        <x:f>IF(V62="Mine",0,IF(OR(C62="RB",C62="WR"),MAX(30,62-COUNTIFS($C$5:$C$265,C62,$V$5:$V$265,"Mine")*5),IF(OR(C62="D/ST",C62="K"),IF('Sources &amp; Model'!$B$4&gt;='Sources &amp; Model'!$B$6*('Sources &amp; Model'!$B$8-2),62,12),IF(COUNTIFS($C$5:$C$265,C62,$V$5:$V$265,"Mine")=0,82,38))))</x:f>
        <x:v>62</x:v>
      </x:c>
      <x:c r="O62" s="65" t="n">
        <x:v>55.8</x:v>
      </x:c>
      <x:c r="P62" s="83" t="n">
        <x:f>MAX(0,MIN(100,100/(1+EXP(-(('Sources &amp; Model'!$B$5-F62)/MAX(2.5,I62))))))</x:f>
        <x:v>0.020191482219841437</x:v>
      </x:c>
      <x:c r="Q62" s="65" t="n">
        <x:v>90</x:v>
      </x:c>
      <x:c r="R62" s="65" t="n">
        <x:v>6</x:v>
      </x:c>
      <x:c r="S62" s="65" t="n">
        <x:v>44.6</x:v>
      </x:c>
      <x:c r="T62" s="65" t="n">
        <x:v>49.7</x:v>
      </x:c>
      <x:c r="U62" s="84" t="n">
        <x:f>IF(V62&lt;&gt;"Available","",(L62*'Sources &amp; Model'!$B$13+M62*'Sources &amp; Model'!$B$14+N62*'Sources &amp; Model'!$B$15+O62*'Sources &amp; Model'!$B$16+P62*'Sources &amp; Model'!$B$17+Q62*'Sources &amp; Model'!$B$18+R62*'Sources &amp; Model'!$B$19+S62*'Sources &amp; Model'!$B$20+T62*'Sources &amp; Model'!$B$21)/SUM('Sources &amp; Model'!$B$13:$B$21))</x:f>
        <x:v>46.78930124013957</x:v>
      </x:c>
      <x:c r="V62" s="5" t="str">
        <x:v>Available</x:v>
      </x:c>
      <x:c r="W62" t="str">
        <x:v>https://help.fantasyfootballcalculator.com/article/42-adp-rest-api</x:v>
      </x:c>
    </x:row>
    <x:row r="63">
      <x:c r="A63" s="28" t="n">
        <x:v>59</x:v>
      </x:c>
      <x:c r="B63" s="28" t="str">
        <x:v>Colston Loveland</x:v>
      </x:c>
      <x:c r="C63" s="28" t="str">
        <x:v>TE</x:v>
      </x:c>
      <x:c r="D63" s="28" t="str">
        <x:v>CHI</x:v>
      </x:c>
      <x:c r="E63" s="81" t="n">
        <x:v>10</x:v>
      </x:c>
      <x:c r="F63" s="82" t="n">
        <x:v>58.3</x:v>
      </x:c>
      <x:c r="G63" s="82" t="n">
        <x:v>34</x:v>
      </x:c>
      <x:c r="H63" s="82" t="n">
        <x:v>81</x:v>
      </x:c>
      <x:c r="I63" s="82" t="n">
        <x:v>9.1</x:v>
      </x:c>
      <x:c r="J63" s="81" t="n">
        <x:v>1215</x:v>
      </x:c>
      <x:c r="K63" s="81" t="n">
        <x:v>2</x:v>
      </x:c>
      <x:c r="L63" s="83" t="n">
        <x:f>MAX(0,MIN(100,100-((F63-1)/(MAX($F$5:$F$265)-1))*100))</x:f>
        <x:v>69.73058637083994</x:v>
      </x:c>
      <x:c r="M63" s="83" t="n">
        <x:f>MAX(0,MIN(100,50+(('Sources &amp; Model'!$B$4-F63)/('Sources &amp; Model'!$B$6*2.5))*45))</x:f>
        <x:v>0</x:v>
      </x:c>
      <x:c r="N63" s="83" t="n">
        <x:f>IF(V63="Mine",0,IF(OR(C63="RB",C63="WR"),MAX(30,62-COUNTIFS($C$5:$C$265,C63,$V$5:$V$265,"Mine")*5),IF(OR(C63="D/ST",C63="K"),IF('Sources &amp; Model'!$B$4&gt;='Sources &amp; Model'!$B$6*('Sources &amp; Model'!$B$8-2),62,12),IF(COUNTIFS($C$5:$C$265,C63,$V$5:$V$265,"Mine")=0,82,38))))</x:f>
        <x:v>82</x:v>
      </x:c>
      <x:c r="O63" s="65" t="n">
        <x:v>78.3</x:v>
      </x:c>
      <x:c r="P63" s="83" t="n">
        <x:f>MAX(0,MIN(100,100/(1+EXP(-(('Sources &amp; Model'!$B$5-F63)/MAX(2.5,I63))))))</x:f>
        <x:v>0.1838980439060378</x:v>
      </x:c>
      <x:c r="Q63" s="65" t="n">
        <x:v>90</x:v>
      </x:c>
      <x:c r="R63" s="65" t="n">
        <x:v>92</x:v>
      </x:c>
      <x:c r="S63" s="65" t="n">
        <x:v>29.9</x:v>
      </x:c>
      <x:c r="T63" s="65" t="n">
        <x:v>50</x:v>
      </x:c>
      <x:c r="U63" s="84" t="n">
        <x:f>IF(V63&lt;&gt;"Available","",(L63*'Sources &amp; Model'!$B$13+M63*'Sources &amp; Model'!$B$14+N63*'Sources &amp; Model'!$B$15+O63*'Sources &amp; Model'!$B$16+P63*'Sources &amp; Model'!$B$17+Q63*'Sources &amp; Model'!$B$18+R63*'Sources &amp; Model'!$B$19+S63*'Sources &amp; Model'!$B$20+T63*'Sources &amp; Model'!$B$21)/SUM('Sources &amp; Model'!$B$13:$B$21))</x:f>
        <x:v>55.60078917047618</x:v>
      </x:c>
      <x:c r="V63" s="5" t="str">
        <x:v>Available</x:v>
      </x:c>
      <x:c r="W63" t="str">
        <x:v>https://help.fantasyfootballcalculator.com/article/42-adp-rest-api</x:v>
      </x:c>
    </x:row>
    <x:row r="64">
      <x:c r="A64" s="28" t="n">
        <x:v>60</x:v>
      </x:c>
      <x:c r="B64" s="28" t="str">
        <x:v>TreVeyon Henderson</x:v>
      </x:c>
      <x:c r="C64" s="28" t="str">
        <x:v>RB</x:v>
      </x:c>
      <x:c r="D64" s="28" t="str">
        <x:v>NE</x:v>
      </x:c>
      <x:c r="E64" s="81" t="n">
        <x:v>11</x:v>
      </x:c>
      <x:c r="F64" s="82" t="n">
        <x:v>58.7</x:v>
      </x:c>
      <x:c r="G64" s="82" t="n">
        <x:v>40</x:v>
      </x:c>
      <x:c r="H64" s="82" t="n">
        <x:v>82</x:v>
      </x:c>
      <x:c r="I64" s="82" t="n">
        <x:v>6.9</x:v>
      </x:c>
      <x:c r="J64" s="81" t="n">
        <x:v>588</x:v>
      </x:c>
      <x:c r="K64" s="81" t="n">
        <x:v>3</x:v>
      </x:c>
      <x:c r="L64" s="83" t="n">
        <x:f>MAX(0,MIN(100,100-((F64-1)/(MAX($F$5:$F$265)-1))*100))</x:f>
        <x:v>69.51928156365557</x:v>
      </x:c>
      <x:c r="M64" s="83" t="n">
        <x:f>MAX(0,MIN(100,50+(('Sources &amp; Model'!$B$4-F64)/('Sources &amp; Model'!$B$6*2.5))*45))</x:f>
        <x:v>0</x:v>
      </x:c>
      <x:c r="N64" s="83" t="n">
        <x:f>IF(V64="Mine",0,IF(OR(C64="RB",C64="WR"),MAX(30,62-COUNTIFS($C$5:$C$265,C64,$V$5:$V$265,"Mine")*5),IF(OR(C64="D/ST",C64="K"),IF('Sources &amp; Model'!$B$4&gt;='Sources &amp; Model'!$B$6*('Sources &amp; Model'!$B$8-2),62,12),IF(COUNTIFS($C$5:$C$265,C64,$V$5:$V$265,"Mine")=0,82,38))))</x:f>
        <x:v>62</x:v>
      </x:c>
      <x:c r="O64" s="65" t="n">
        <x:v>64</x:v>
      </x:c>
      <x:c r="P64" s="83" t="n">
        <x:f>MAX(0,MIN(100,100/(1+EXP(-(('Sources &amp; Model'!$B$5-F64)/MAX(2.5,I64))))))</x:f>
        <x:v>0.02334477404423177</x:v>
      </x:c>
      <x:c r="Q64" s="65" t="n">
        <x:v>90</x:v>
      </x:c>
      <x:c r="R64" s="65" t="n">
        <x:v>92</x:v>
      </x:c>
      <x:c r="S64" s="65" t="n">
        <x:v>40.6</x:v>
      </x:c>
      <x:c r="T64" s="65" t="n">
        <x:v>50</x:v>
      </x:c>
      <x:c r="U64" s="84" t="n">
        <x:f>IF(V64&lt;&gt;"Available","",(L64*'Sources &amp; Model'!$B$13+M64*'Sources &amp; Model'!$B$14+N64*'Sources &amp; Model'!$B$15+O64*'Sources &amp; Model'!$B$16+P64*'Sources &amp; Model'!$B$17+Q64*'Sources &amp; Model'!$B$18+R64*'Sources &amp; Model'!$B$19+S64*'Sources &amp; Model'!$B$20+T64*'Sources &amp; Model'!$B$21)/SUM('Sources &amp; Model'!$B$13:$B$21))</x:f>
        <x:v>51.01089020904731</x:v>
      </x:c>
      <x:c r="V64" s="5" t="str">
        <x:v>Available</x:v>
      </x:c>
      <x:c r="W64" t="str">
        <x:v>https://help.fantasyfootballcalculator.com/article/42-adp-rest-api</x:v>
      </x:c>
    </x:row>
    <x:row r="65">
      <x:c r="A65" s="28" t="n">
        <x:v>61</x:v>
      </x:c>
      <x:c r="B65" s="28" t="str">
        <x:v>Courtland Sutton</x:v>
      </x:c>
      <x:c r="C65" s="28" t="str">
        <x:v>WR</x:v>
      </x:c>
      <x:c r="D65" s="28" t="str">
        <x:v>DEN</x:v>
      </x:c>
      <x:c r="E65" s="81" t="n">
        <x:v>10</x:v>
      </x:c>
      <x:c r="F65" s="82" t="n">
        <x:v>60.5</x:v>
      </x:c>
      <x:c r="G65" s="82" t="n">
        <x:v>44</x:v>
      </x:c>
      <x:c r="H65" s="82" t="n">
        <x:v>79</x:v>
      </x:c>
      <x:c r="I65" s="82" t="n">
        <x:v>6.1</x:v>
      </x:c>
      <x:c r="J65" s="81" t="n">
        <x:v>407</x:v>
      </x:c>
      <x:c r="K65" s="81" t="n">
        <x:v>4</x:v>
      </x:c>
      <x:c r="L65" s="83" t="n">
        <x:f>MAX(0,MIN(100,100-((F65-1)/(MAX($F$5:$F$265)-1))*100))</x:f>
        <x:v>68.56840993132595</x:v>
      </x:c>
      <x:c r="M65" s="83" t="n">
        <x:f>MAX(0,MIN(100,50+(('Sources &amp; Model'!$B$4-F65)/('Sources &amp; Model'!$B$6*2.5))*45))</x:f>
        <x:v>0</x:v>
      </x:c>
      <x:c r="N65" s="83" t="n">
        <x:f>IF(V65="Mine",0,IF(OR(C65="RB",C65="WR"),MAX(30,62-COUNTIFS($C$5:$C$265,C65,$V$5:$V$265,"Mine")*5),IF(OR(C65="D/ST",C65="K"),IF('Sources &amp; Model'!$B$4&gt;='Sources &amp; Model'!$B$6*('Sources &amp; Model'!$B$8-2),62,12),IF(COUNTIFS($C$5:$C$265,C65,$V$5:$V$265,"Mine")=0,82,38))))</x:f>
        <x:v>62</x:v>
      </x:c>
      <x:c r="O65" s="65" t="n">
        <x:v>64.5</x:v>
      </x:c>
      <x:c r="P65" s="83" t="n">
        <x:f>MAX(0,MIN(100,100/(1+EXP(-(('Sources &amp; Model'!$B$5-F65)/MAX(2.5,I65))))))</x:f>
        <x:v>0.005805286975002797</x:v>
      </x:c>
      <x:c r="Q65" s="65" t="n">
        <x:v>68</x:v>
      </x:c>
      <x:c r="R65" s="65" t="n">
        <x:v>92</x:v>
      </x:c>
      <x:c r="S65" s="65" t="n">
        <x:v>36.9</x:v>
      </x:c>
      <x:c r="T65" s="65" t="n">
        <x:v>50.1</x:v>
      </x:c>
      <x:c r="U65" s="84" t="n">
        <x:f>IF(V65&lt;&gt;"Available","",(L65*'Sources &amp; Model'!$B$13+M65*'Sources &amp; Model'!$B$14+N65*'Sources &amp; Model'!$B$15+O65*'Sources &amp; Model'!$B$16+P65*'Sources &amp; Model'!$B$17+Q65*'Sources &amp; Model'!$B$18+R65*'Sources &amp; Model'!$B$19+S65*'Sources &amp; Model'!$B$20+T65*'Sources &amp; Model'!$B$21)/SUM('Sources &amp; Model'!$B$13:$B$21))</x:f>
        <x:v>49.352839905348326</x:v>
      </x:c>
      <x:c r="V65" s="5" t="str">
        <x:v>Available</x:v>
      </x:c>
      <x:c r="W65" t="str">
        <x:v>https://help.fantasyfootballcalculator.com/article/42-adp-rest-api</x:v>
      </x:c>
    </x:row>
    <x:row r="66">
      <x:c r="A66" s="28" t="n">
        <x:v>62</x:v>
      </x:c>
      <x:c r="B66" s="28" t="str">
        <x:v>David Montgomery</x:v>
      </x:c>
      <x:c r="C66" s="28" t="str">
        <x:v>RB</x:v>
      </x:c>
      <x:c r="D66" s="28" t="str">
        <x:v>HOU</x:v>
      </x:c>
      <x:c r="E66" s="81" t="n">
        <x:v>8</x:v>
      </x:c>
      <x:c r="F66" s="82" t="n">
        <x:v>62.7</x:v>
      </x:c>
      <x:c r="G66" s="82" t="n">
        <x:v>39</x:v>
      </x:c>
      <x:c r="H66" s="82" t="n">
        <x:v>91</x:v>
      </x:c>
      <x:c r="I66" s="82" t="n">
        <x:v>8.9</x:v>
      </x:c>
      <x:c r="J66" s="81" t="n">
        <x:v>1171</x:v>
      </x:c>
      <x:c r="K66" s="81" t="n">
        <x:v>4</x:v>
      </x:c>
      <x:c r="L66" s="83" t="n">
        <x:f>MAX(0,MIN(100,100-((F66-1)/(MAX($F$5:$F$265)-1))*100))</x:f>
        <x:v>67.40623349181195</x:v>
      </x:c>
      <x:c r="M66" s="83" t="n">
        <x:f>MAX(0,MIN(100,50+(('Sources &amp; Model'!$B$4-F66)/('Sources &amp; Model'!$B$6*2.5))*45))</x:f>
        <x:v>0</x:v>
      </x:c>
      <x:c r="N66" s="83" t="n">
        <x:f>IF(V66="Mine",0,IF(OR(C66="RB",C66="WR"),MAX(30,62-COUNTIFS($C$5:$C$265,C66,$V$5:$V$265,"Mine")*5),IF(OR(C66="D/ST",C66="K"),IF('Sources &amp; Model'!$B$4&gt;='Sources &amp; Model'!$B$6*('Sources &amp; Model'!$B$8-2),62,12),IF(COUNTIFS($C$5:$C$265,C66,$V$5:$V$265,"Mine")=0,82,38))))</x:f>
        <x:v>62</x:v>
      </x:c>
      <x:c r="O66" s="65" t="n">
        <x:v>60.7</x:v>
      </x:c>
      <x:c r="P66" s="83" t="n">
        <x:f>MAX(0,MIN(100,100/(1+EXP(-(('Sources &amp; Model'!$B$5-F66)/MAX(2.5,I66))))))</x:f>
        <x:v>0.09745260858709555</x:v>
      </x:c>
      <x:c r="Q66" s="65" t="n">
        <x:v>90</x:v>
      </x:c>
      <x:c r="R66" s="65" t="n">
        <x:v>92</x:v>
      </x:c>
      <x:c r="S66" s="65" t="n">
        <x:v>37.6</x:v>
      </x:c>
      <x:c r="T66" s="65" t="n">
        <x:v>50</x:v>
      </x:c>
      <x:c r="U66" s="84" t="n">
        <x:f>IF(V66&lt;&gt;"Available","",(L66*'Sources &amp; Model'!$B$13+M66*'Sources &amp; Model'!$B$14+N66*'Sources &amp; Model'!$B$15+O66*'Sources &amp; Model'!$B$16+P66*'Sources &amp; Model'!$B$17+Q66*'Sources &amp; Model'!$B$18+R66*'Sources &amp; Model'!$B$19+S66*'Sources &amp; Model'!$B$20+T66*'Sources &amp; Model'!$B$21)/SUM('Sources &amp; Model'!$B$13:$B$21))</x:f>
        <x:v>49.84386464807477</x:v>
      </x:c>
      <x:c r="V66" s="5" t="str">
        <x:v>Available</x:v>
      </x:c>
      <x:c r="W66" t="str">
        <x:v>https://help.fantasyfootballcalculator.com/article/42-adp-rest-api</x:v>
      </x:c>
    </x:row>
    <x:row r="67">
      <x:c r="A67" s="28" t="n">
        <x:v>63</x:v>
      </x:c>
      <x:c r="B67" s="28" t="str">
        <x:v>Marvin Harrison</x:v>
      </x:c>
      <x:c r="C67" s="28" t="str">
        <x:v>WR</x:v>
      </x:c>
      <x:c r="D67" s="28" t="str">
        <x:v>ARI</x:v>
      </x:c>
      <x:c r="E67" s="81" t="n">
        <x:v>14</x:v>
      </x:c>
      <x:c r="F67" s="82" t="n">
        <x:v>64.6</x:v>
      </x:c>
      <x:c r="G67" s="82" t="n">
        <x:v>45</x:v>
      </x:c>
      <x:c r="H67" s="82" t="n">
        <x:v>82</x:v>
      </x:c>
      <x:c r="I67" s="82" t="n">
        <x:v>7.3</x:v>
      </x:c>
      <x:c r="J67" s="81" t="n">
        <x:v>744</x:v>
      </x:c>
      <x:c r="K67" s="81" t="n">
        <x:v>4</x:v>
      </x:c>
      <x:c r="L67" s="83" t="n">
        <x:f>MAX(0,MIN(100,100-((F67-1)/(MAX($F$5:$F$265)-1))*100))</x:f>
        <x:v>66.40253565768622</x:v>
      </x:c>
      <x:c r="M67" s="83" t="n">
        <x:f>MAX(0,MIN(100,50+(('Sources &amp; Model'!$B$4-F67)/('Sources &amp; Model'!$B$6*2.5))*45))</x:f>
        <x:v>0</x:v>
      </x:c>
      <x:c r="N67" s="83" t="n">
        <x:f>IF(V67="Mine",0,IF(OR(C67="RB",C67="WR"),MAX(30,62-COUNTIFS($C$5:$C$265,C67,$V$5:$V$265,"Mine")*5),IF(OR(C67="D/ST",C67="K"),IF('Sources &amp; Model'!$B$4&gt;='Sources &amp; Model'!$B$6*('Sources &amp; Model'!$B$8-2),62,12),IF(COUNTIFS($C$5:$C$265,C67,$V$5:$V$265,"Mine")=0,82,38))))</x:f>
        <x:v>62</x:v>
      </x:c>
      <x:c r="O67" s="65" t="n">
        <x:v>44.2</x:v>
      </x:c>
      <x:c r="P67" s="83" t="n">
        <x:f>MAX(0,MIN(100,100/(1+EXP(-(('Sources &amp; Model'!$B$5-F67)/MAX(2.5,I67))))))</x:f>
        <x:v>0.016451755136718215</x:v>
      </x:c>
      <x:c r="Q67" s="65" t="n">
        <x:v>90</x:v>
      </x:c>
      <x:c r="R67" s="65" t="n">
        <x:v>92</x:v>
      </x:c>
      <x:c r="S67" s="65" t="n">
        <x:v>51.8</x:v>
      </x:c>
      <x:c r="T67" s="65" t="n">
        <x:v>49.5</x:v>
      </x:c>
      <x:c r="U67" s="84" t="n">
        <x:f>IF(V67&lt;&gt;"Available","",(L67*'Sources &amp; Model'!$B$13+M67*'Sources &amp; Model'!$B$14+N67*'Sources &amp; Model'!$B$15+O67*'Sources &amp; Model'!$B$16+P67*'Sources &amp; Model'!$B$17+Q67*'Sources &amp; Model'!$B$18+R67*'Sources &amp; Model'!$B$19+S67*'Sources &amp; Model'!$B$20+T67*'Sources &amp; Model'!$B$21)/SUM('Sources &amp; Model'!$B$13:$B$21))</x:f>
        <x:v>47.79350729912699</x:v>
      </x:c>
      <x:c r="V67" s="5" t="str">
        <x:v>Available</x:v>
      </x:c>
      <x:c r="W67" t="str">
        <x:v>https://help.fantasyfootballcalculator.com/article/42-adp-rest-api</x:v>
      </x:c>
    </x:row>
    <x:row r="68">
      <x:c r="A68" s="28" t="n">
        <x:v>64</x:v>
      </x:c>
      <x:c r="B68" s="28" t="str">
        <x:v>Tyler Warren</x:v>
      </x:c>
      <x:c r="C68" s="28" t="str">
        <x:v>TE</x:v>
      </x:c>
      <x:c r="D68" s="28" t="str">
        <x:v>IND</x:v>
      </x:c>
      <x:c r="E68" s="81" t="n">
        <x:v>13</x:v>
      </x:c>
      <x:c r="F68" s="82" t="n">
        <x:v>64.9</x:v>
      </x:c>
      <x:c r="G68" s="82" t="n">
        <x:v>39</x:v>
      </x:c>
      <x:c r="H68" s="82" t="n">
        <x:v>87</x:v>
      </x:c>
      <x:c r="I68" s="82" t="n">
        <x:v>9.6</x:v>
      </x:c>
      <x:c r="J68" s="81" t="n">
        <x:v>1344</x:v>
      </x:c>
      <x:c r="K68" s="81" t="n">
        <x:v>2</x:v>
      </x:c>
      <x:c r="L68" s="83" t="n">
        <x:f>MAX(0,MIN(100,100-((F68-1)/(MAX($F$5:$F$265)-1))*100))</x:f>
        <x:v>66.24405705229793</x:v>
      </x:c>
      <x:c r="M68" s="83" t="n">
        <x:f>MAX(0,MIN(100,50+(('Sources &amp; Model'!$B$4-F68)/('Sources &amp; Model'!$B$6*2.5))*45))</x:f>
        <x:v>0</x:v>
      </x:c>
      <x:c r="N68" s="83" t="n">
        <x:f>IF(V68="Mine",0,IF(OR(C68="RB",C68="WR"),MAX(30,62-COUNTIFS($C$5:$C$265,C68,$V$5:$V$265,"Mine")*5),IF(OR(C68="D/ST",C68="K"),IF('Sources &amp; Model'!$B$4&gt;='Sources &amp; Model'!$B$6*('Sources &amp; Model'!$B$8-2),62,12),IF(COUNTIFS($C$5:$C$265,C68,$V$5:$V$265,"Mine")=0,82,38))))</x:f>
        <x:v>82</x:v>
      </x:c>
      <x:c r="O68" s="65" t="n">
        <x:v>100</x:v>
      </x:c>
      <x:c r="P68" s="83" t="n">
        <x:f>MAX(0,MIN(100,100/(1+EXP(-(('Sources &amp; Model'!$B$5-F68)/MAX(2.5,I68))))))</x:f>
        <x:v>0.12843081201339684</x:v>
      </x:c>
      <x:c r="Q68" s="65" t="n">
        <x:v>90</x:v>
      </x:c>
      <x:c r="R68" s="65" t="n">
        <x:v>92</x:v>
      </x:c>
      <x:c r="S68" s="65" t="n">
        <x:v>44.6</x:v>
      </x:c>
      <x:c r="T68" s="65" t="n">
        <x:v>50</x:v>
      </x:c>
      <x:c r="U68" s="84" t="n">
        <x:f>IF(V68&lt;&gt;"Available","",(L68*'Sources &amp; Model'!$B$13+M68*'Sources &amp; Model'!$B$14+N68*'Sources &amp; Model'!$B$15+O68*'Sources &amp; Model'!$B$16+P68*'Sources &amp; Model'!$B$17+Q68*'Sources &amp; Model'!$B$18+R68*'Sources &amp; Model'!$B$19+S68*'Sources &amp; Model'!$B$20+T68*'Sources &amp; Model'!$B$21)/SUM('Sources &amp; Model'!$B$13:$B$21))</x:f>
        <x:v>57.30782247898262</x:v>
      </x:c>
      <x:c r="V68" s="5" t="str">
        <x:v>Available</x:v>
      </x:c>
      <x:c r="W68" t="str">
        <x:v>https://help.fantasyfootballcalculator.com/article/42-adp-rest-api</x:v>
      </x:c>
    </x:row>
    <x:row r="69">
      <x:c r="A69" s="28" t="n">
        <x:v>65</x:v>
      </x:c>
      <x:c r="B69" s="28" t="str">
        <x:v>DK Metcalf</x:v>
      </x:c>
      <x:c r="C69" s="28" t="str">
        <x:v>WR</x:v>
      </x:c>
      <x:c r="D69" s="28" t="str">
        <x:v>PIT</x:v>
      </x:c>
      <x:c r="E69" s="81" t="n">
        <x:v>9</x:v>
      </x:c>
      <x:c r="F69" s="82" t="n">
        <x:v>65</x:v>
      </x:c>
      <x:c r="G69" s="82" t="n">
        <x:v>46</x:v>
      </x:c>
      <x:c r="H69" s="82" t="n">
        <x:v>85</x:v>
      </x:c>
      <x:c r="I69" s="82" t="n">
        <x:v>7.1</x:v>
      </x:c>
      <x:c r="J69" s="81" t="n">
        <x:v>640</x:v>
      </x:c>
      <x:c r="K69" s="81" t="n">
        <x:v>4</x:v>
      </x:c>
      <x:c r="L69" s="83" t="n">
        <x:f>MAX(0,MIN(100,100-((F69-1)/(MAX($F$5:$F$265)-1))*100))</x:f>
        <x:v>66.19123085050185</x:v>
      </x:c>
      <x:c r="M69" s="83" t="n">
        <x:f>MAX(0,MIN(100,50+(('Sources &amp; Model'!$B$4-F69)/('Sources &amp; Model'!$B$6*2.5))*45))</x:f>
        <x:v>0</x:v>
      </x:c>
      <x:c r="N69" s="83" t="n">
        <x:f>IF(V69="Mine",0,IF(OR(C69="RB",C69="WR"),MAX(30,62-COUNTIFS($C$5:$C$265,C69,$V$5:$V$265,"Mine")*5),IF(OR(C69="D/ST",C69="K"),IF('Sources &amp; Model'!$B$4&gt;='Sources &amp; Model'!$B$6*('Sources &amp; Model'!$B$8-2),62,12),IF(COUNTIFS($C$5:$C$265,C69,$V$5:$V$265,"Mine")=0,82,38))))</x:f>
        <x:v>62</x:v>
      </x:c>
      <x:c r="O69" s="65" t="n">
        <x:v>45.3</x:v>
      </x:c>
      <x:c r="P69" s="83" t="n">
        <x:f>MAX(0,MIN(100,100/(1+EXP(-(('Sources &amp; Model'!$B$5-F69)/MAX(2.5,I69))))))</x:f>
        <x:v>0.01216690160227189</x:v>
      </x:c>
      <x:c r="Q69" s="65" t="n">
        <x:v>90</x:v>
      </x:c>
      <x:c r="R69" s="65" t="n">
        <x:v>52</x:v>
      </x:c>
      <x:c r="S69" s="65" t="n">
        <x:v>33.7</x:v>
      </x:c>
      <x:c r="T69" s="65" t="n">
        <x:v>49.2</x:v>
      </x:c>
      <x:c r="U69" s="84" t="n">
        <x:f>IF(V69&lt;&gt;"Available","",(L69*'Sources &amp; Model'!$B$13+M69*'Sources &amp; Model'!$B$14+N69*'Sources &amp; Model'!$B$15+O69*'Sources &amp; Model'!$B$16+P69*'Sources &amp; Model'!$B$17+Q69*'Sources &amp; Model'!$B$18+R69*'Sources &amp; Model'!$B$19+S69*'Sources &amp; Model'!$B$20+T69*'Sources &amp; Model'!$B$21)/SUM('Sources &amp; Model'!$B$13:$B$21))</x:f>
        <x:v>45.88823517933085</x:v>
      </x:c>
      <x:c r="V69" s="5" t="str">
        <x:v>Available</x:v>
      </x:c>
      <x:c r="W69" t="str">
        <x:v>https://help.fantasyfootballcalculator.com/article/42-adp-rest-api</x:v>
      </x:c>
    </x:row>
    <x:row r="70">
      <x:c r="A70" s="28" t="n">
        <x:v>66</x:v>
      </x:c>
      <x:c r="B70" s="28" t="str">
        <x:v>Christian Watson</x:v>
      </x:c>
      <x:c r="C70" s="28" t="str">
        <x:v>WR</x:v>
      </x:c>
      <x:c r="D70" s="28" t="str">
        <x:v>GB</x:v>
      </x:c>
      <x:c r="E70" s="81" t="n">
        <x:v>11</x:v>
      </x:c>
      <x:c r="F70" s="82" t="n">
        <x:v>65.6</x:v>
      </x:c>
      <x:c r="G70" s="82" t="n">
        <x:v>39</x:v>
      </x:c>
      <x:c r="H70" s="82" t="n">
        <x:v>94</x:v>
      </x:c>
      <x:c r="I70" s="82" t="n">
        <x:v>10.1</x:v>
      </x:c>
      <x:c r="J70" s="81" t="n">
        <x:v>1487</x:v>
      </x:c>
      <x:c r="K70" s="81" t="n">
        <x:v>5</x:v>
      </x:c>
      <x:c r="L70" s="83" t="n">
        <x:f>MAX(0,MIN(100,100-((F70-1)/(MAX($F$5:$F$265)-1))*100))</x:f>
        <x:v>65.87427363972532</x:v>
      </x:c>
      <x:c r="M70" s="83" t="n">
        <x:f>MAX(0,MIN(100,50+(('Sources &amp; Model'!$B$4-F70)/('Sources &amp; Model'!$B$6*2.5))*45))</x:f>
        <x:v>0</x:v>
      </x:c>
      <x:c r="N70" s="83" t="n">
        <x:f>IF(V70="Mine",0,IF(OR(C70="RB",C70="WR"),MAX(30,62-COUNTIFS($C$5:$C$265,C70,$V$5:$V$265,"Mine")*5),IF(OR(C70="D/ST",C70="K"),IF('Sources &amp; Model'!$B$4&gt;='Sources &amp; Model'!$B$6*('Sources &amp; Model'!$B$8-2),62,12),IF(COUNTIFS($C$5:$C$265,C70,$V$5:$V$265,"Mine")=0,82,38))))</x:f>
        <x:v>62</x:v>
      </x:c>
      <x:c r="O70" s="65" t="n">
        <x:v>53.6</x:v>
      </x:c>
      <x:c r="P70" s="83" t="n">
        <x:f>MAX(0,MIN(100,100/(1+EXP(-(('Sources &amp; Model'!$B$5-F70)/MAX(2.5,I70))))))</x:f>
        <x:v>0.16653726531481652</x:v>
      </x:c>
      <x:c r="Q70" s="65" t="n">
        <x:v>90</x:v>
      </x:c>
      <x:c r="R70" s="65" t="n">
        <x:v>92</x:v>
      </x:c>
      <x:c r="S70" s="65" t="n">
        <x:v>41.8</x:v>
      </x:c>
      <x:c r="T70" s="65" t="n">
        <x:v>50</x:v>
      </x:c>
      <x:c r="U70" s="84" t="n">
        <x:f>IF(V70&lt;&gt;"Available","",(L70*'Sources &amp; Model'!$B$13+M70*'Sources &amp; Model'!$B$14+N70*'Sources &amp; Model'!$B$15+O70*'Sources &amp; Model'!$B$16+P70*'Sources &amp; Model'!$B$17+Q70*'Sources &amp; Model'!$B$18+R70*'Sources &amp; Model'!$B$19+S70*'Sources &amp; Model'!$B$20+T70*'Sources &amp; Model'!$B$21)/SUM('Sources &amp; Model'!$B$13:$B$21))</x:f>
        <x:v>48.561906764038085</x:v>
      </x:c>
      <x:c r="V70" s="5" t="str">
        <x:v>Available</x:v>
      </x:c>
      <x:c r="W70" t="str">
        <x:v>https://help.fantasyfootballcalculator.com/article/42-adp-rest-api</x:v>
      </x:c>
    </x:row>
    <x:row r="71">
      <x:c r="A71" s="28" t="n">
        <x:v>67</x:v>
      </x:c>
      <x:c r="B71" s="28" t="str">
        <x:v>Dak Prescott</x:v>
      </x:c>
      <x:c r="C71" s="28" t="str">
        <x:v>QB</x:v>
      </x:c>
      <x:c r="D71" s="28" t="str">
        <x:v>DAL</x:v>
      </x:c>
      <x:c r="E71" s="81" t="n">
        <x:v>14</x:v>
      </x:c>
      <x:c r="F71" s="82" t="n">
        <x:v>65.8</x:v>
      </x:c>
      <x:c r="G71" s="82" t="n">
        <x:v>43</x:v>
      </x:c>
      <x:c r="H71" s="82" t="n">
        <x:v>103</x:v>
      </x:c>
      <x:c r="I71" s="82" t="n">
        <x:v>8.7</x:v>
      </x:c>
      <x:c r="J71" s="81" t="n">
        <x:v>356</x:v>
      </x:c>
      <x:c r="K71" s="81" t="n">
        <x:v>3</x:v>
      </x:c>
      <x:c r="L71" s="83" t="n">
        <x:f>MAX(0,MIN(100,100-((F71-1)/(MAX($F$5:$F$265)-1))*100))</x:f>
        <x:v>65.76862123613313</x:v>
      </x:c>
      <x:c r="M71" s="83" t="n">
        <x:f>MAX(0,MIN(100,50+(('Sources &amp; Model'!$B$4-F71)/('Sources &amp; Model'!$B$6*2.5))*45))</x:f>
        <x:v>0</x:v>
      </x:c>
      <x:c r="N71" s="83" t="n">
        <x:f>IF(V71="Mine",0,IF(OR(C71="RB",C71="WR"),MAX(30,62-COUNTIFS($C$5:$C$265,C71,$V$5:$V$265,"Mine")*5),IF(OR(C71="D/ST",C71="K"),IF('Sources &amp; Model'!$B$4&gt;='Sources &amp; Model'!$B$6*('Sources &amp; Model'!$B$8-2),62,12),IF(COUNTIFS($C$5:$C$265,C71,$V$5:$V$265,"Mine")=0,82,38))))</x:f>
        <x:v>82</x:v>
      </x:c>
      <x:c r="O71" s="65" t="n">
        <x:v>73.4</x:v>
      </x:c>
      <x:c r="P71" s="83" t="n">
        <x:f>MAX(0,MIN(100,100/(1+EXP(-(('Sources &amp; Model'!$B$5-F71)/MAX(2.5,I71))))))</x:f>
        <x:v>0.058210591778116036</x:v>
      </x:c>
      <x:c r="Q71" s="65" t="n">
        <x:v>90</x:v>
      </x:c>
      <x:c r="R71" s="65" t="n">
        <x:v>92</x:v>
      </x:c>
      <x:c r="S71" s="65" t="n">
        <x:v>32.6</x:v>
      </x:c>
      <x:c r="T71" s="65" t="n">
        <x:v>49</x:v>
      </x:c>
      <x:c r="U71" s="84" t="n">
        <x:f>IF(V71&lt;&gt;"Available","",(L71*'Sources &amp; Model'!$B$13+M71*'Sources &amp; Model'!$B$14+N71*'Sources &amp; Model'!$B$15+O71*'Sources &amp; Model'!$B$16+P71*'Sources &amp; Model'!$B$17+Q71*'Sources &amp; Model'!$B$18+R71*'Sources &amp; Model'!$B$19+S71*'Sources &amp; Model'!$B$20+T71*'Sources &amp; Model'!$B$21)/SUM('Sources &amp; Model'!$B$13:$B$21))</x:f>
        <x:v>53.69715227946308</x:v>
      </x:c>
      <x:c r="V71" s="5" t="str">
        <x:v>Available</x:v>
      </x:c>
      <x:c r="W71" t="str">
        <x:v>https://help.fantasyfootballcalculator.com/article/42-adp-rest-api</x:v>
      </x:c>
    </x:row>
    <x:row r="72">
      <x:c r="A72" s="28" t="n">
        <x:v>68</x:v>
      </x:c>
      <x:c r="B72" s="28" t="str">
        <x:v>Jaylen Warren</x:v>
      </x:c>
      <x:c r="C72" s="28" t="str">
        <x:v>RB</x:v>
      </x:c>
      <x:c r="D72" s="28" t="str">
        <x:v>PIT</x:v>
      </x:c>
      <x:c r="E72" s="81" t="n">
        <x:v>9</x:v>
      </x:c>
      <x:c r="F72" s="82" t="n">
        <x:v>66.1</x:v>
      </x:c>
      <x:c r="G72" s="82" t="n">
        <x:v>50</x:v>
      </x:c>
      <x:c r="H72" s="82" t="n">
        <x:v>85</x:v>
      </x:c>
      <x:c r="I72" s="82" t="n">
        <x:v>7.1</x:v>
      </x:c>
      <x:c r="J72" s="81" t="n">
        <x:v>212</x:v>
      </x:c>
      <x:c r="K72" s="81" t="n">
        <x:v>4</x:v>
      </x:c>
      <x:c r="L72" s="83" t="n">
        <x:f>MAX(0,MIN(100,100-((F72-1)/(MAX($F$5:$F$265)-1))*100))</x:f>
        <x:v>65.61014263074486</x:v>
      </x:c>
      <x:c r="M72" s="83" t="n">
        <x:f>MAX(0,MIN(100,50+(('Sources &amp; Model'!$B$4-F72)/('Sources &amp; Model'!$B$6*2.5))*45))</x:f>
        <x:v>0</x:v>
      </x:c>
      <x:c r="N72" s="83" t="n">
        <x:f>IF(V72="Mine",0,IF(OR(C72="RB",C72="WR"),MAX(30,62-COUNTIFS($C$5:$C$265,C72,$V$5:$V$265,"Mine")*5),IF(OR(C72="D/ST",C72="K"),IF('Sources &amp; Model'!$B$4&gt;='Sources &amp; Model'!$B$6*('Sources &amp; Model'!$B$8-2),62,12),IF(COUNTIFS($C$5:$C$265,C72,$V$5:$V$265,"Mine")=0,82,38))))</x:f>
        <x:v>62</x:v>
      </x:c>
      <x:c r="O72" s="65" t="n">
        <x:v>47.5</x:v>
      </x:c>
      <x:c r="P72" s="83" t="n">
        <x:f>MAX(0,MIN(100,100/(1+EXP(-(('Sources &amp; Model'!$B$5-F72)/MAX(2.5,I72))))))</x:f>
        <x:v>0.010420834991783803</x:v>
      </x:c>
      <x:c r="Q72" s="65" t="n">
        <x:v>90</x:v>
      </x:c>
      <x:c r="R72" s="65" t="n">
        <x:v>92</x:v>
      </x:c>
      <x:c r="S72" s="65" t="n">
        <x:v>33.7</x:v>
      </x:c>
      <x:c r="T72" s="65" t="n">
        <x:v>49.4</x:v>
      </x:c>
      <x:c r="U72" s="84" t="n">
        <x:f>IF(V72&lt;&gt;"Available","",(L72*'Sources &amp; Model'!$B$13+M72*'Sources &amp; Model'!$B$14+N72*'Sources &amp; Model'!$B$15+O72*'Sources &amp; Model'!$B$16+P72*'Sources &amp; Model'!$B$17+Q72*'Sources &amp; Model'!$B$18+R72*'Sources &amp; Model'!$B$19+S72*'Sources &amp; Model'!$B$20+T72*'Sources &amp; Model'!$B$21)/SUM('Sources &amp; Model'!$B$13:$B$21))</x:f>
        <x:v>47.556490577952424</x:v>
      </x:c>
      <x:c r="V72" s="5" t="str">
        <x:v>Available</x:v>
      </x:c>
      <x:c r="W72" t="str">
        <x:v>https://help.fantasyfootballcalculator.com/article/42-adp-rest-api</x:v>
      </x:c>
    </x:row>
    <x:row r="73">
      <x:c r="A73" s="28" t="n">
        <x:v>69</x:v>
      </x:c>
      <x:c r="B73" s="28" t="str">
        <x:v>Tony Pollard</x:v>
      </x:c>
      <x:c r="C73" s="28" t="str">
        <x:v>RB</x:v>
      </x:c>
      <x:c r="D73" s="28" t="str">
        <x:v>TEN</x:v>
      </x:c>
      <x:c r="E73" s="81" t="n">
        <x:v>9</x:v>
      </x:c>
      <x:c r="F73" s="82" t="n">
        <x:v>67.1</x:v>
      </x:c>
      <x:c r="G73" s="82" t="n">
        <x:v>46</x:v>
      </x:c>
      <x:c r="H73" s="82" t="n">
        <x:v>90</x:v>
      </x:c>
      <x:c r="I73" s="82" t="n">
        <x:v>8</x:v>
      </x:c>
      <x:c r="J73" s="81" t="n">
        <x:v>278</x:v>
      </x:c>
      <x:c r="K73" s="81" t="n">
        <x:v>4</x:v>
      </x:c>
      <x:c r="L73" s="83" t="n">
        <x:f>MAX(0,MIN(100,100-((F73-1)/(MAX($F$5:$F$265)-1))*100))</x:f>
        <x:v>65.08188061278395</x:v>
      </x:c>
      <x:c r="M73" s="83" t="n">
        <x:f>MAX(0,MIN(100,50+(('Sources &amp; Model'!$B$4-F73)/('Sources &amp; Model'!$B$6*2.5))*45))</x:f>
        <x:v>0</x:v>
      </x:c>
      <x:c r="N73" s="83" t="n">
        <x:f>IF(V73="Mine",0,IF(OR(C73="RB",C73="WR"),MAX(30,62-COUNTIFS($C$5:$C$265,C73,$V$5:$V$265,"Mine")*5),IF(OR(C73="D/ST",C73="K"),IF('Sources &amp; Model'!$B$4&gt;='Sources &amp; Model'!$B$6*('Sources &amp; Model'!$B$8-2),62,12),IF(COUNTIFS($C$5:$C$265,C73,$V$5:$V$265,"Mine")=0,82,38))))</x:f>
        <x:v>62</x:v>
      </x:c>
      <x:c r="O73" s="65" t="n">
        <x:v>67.3</x:v>
      </x:c>
      <x:c r="P73" s="83" t="n">
        <x:f>MAX(0,MIN(100,100/(1+EXP(-(('Sources &amp; Model'!$B$5-F73)/MAX(2.5,I73))))))</x:f>
        <x:v>0.025794659776560837</x:v>
      </x:c>
      <x:c r="Q73" s="65" t="n">
        <x:v>90</x:v>
      </x:c>
      <x:c r="R73" s="65" t="n">
        <x:v>92</x:v>
      </x:c>
      <x:c r="S73" s="65" t="n">
        <x:v>50.9</x:v>
      </x:c>
      <x:c r="T73" s="65" t="n">
        <x:v>50</x:v>
      </x:c>
      <x:c r="U73" s="84" t="n">
        <x:f>IF(V73&lt;&gt;"Available","",(L73*'Sources &amp; Model'!$B$13+M73*'Sources &amp; Model'!$B$14+N73*'Sources &amp; Model'!$B$15+O73*'Sources &amp; Model'!$B$16+P73*'Sources &amp; Model'!$B$17+Q73*'Sources &amp; Model'!$B$18+R73*'Sources &amp; Model'!$B$19+S73*'Sources &amp; Model'!$B$20+T73*'Sources &amp; Model'!$B$21)/SUM('Sources &amp; Model'!$B$13:$B$21))</x:f>
        <x:v>50.1044188743242</x:v>
      </x:c>
      <x:c r="V73" s="5" t="str">
        <x:v>Available</x:v>
      </x:c>
      <x:c r="W73" t="str">
        <x:v>https://help.fantasyfootballcalculator.com/article/42-adp-rest-api</x:v>
      </x:c>
    </x:row>
    <x:row r="74">
      <x:c r="A74" s="28" t="n">
        <x:v>70</x:v>
      </x:c>
      <x:c r="B74" s="28" t="str">
        <x:v>Parker Washington</x:v>
      </x:c>
      <x:c r="C74" s="28" t="str">
        <x:v>WR</x:v>
      </x:c>
      <x:c r="D74" s="28" t="str">
        <x:v>JAX</x:v>
      </x:c>
      <x:c r="E74" s="81" t="n">
        <x:v>7</x:v>
      </x:c>
      <x:c r="F74" s="82" t="n">
        <x:v>67.7</x:v>
      </x:c>
      <x:c r="G74" s="82" t="n">
        <x:v>46</x:v>
      </x:c>
      <x:c r="H74" s="82" t="n">
        <x:v>96</x:v>
      </x:c>
      <x:c r="I74" s="82" t="n">
        <x:v>8.2</x:v>
      </x:c>
      <x:c r="J74" s="81" t="n">
        <x:v>1329</x:v>
      </x:c>
      <x:c r="K74" s="81" t="n">
        <x:v>5</x:v>
      </x:c>
      <x:c r="L74" s="83" t="n">
        <x:f>MAX(0,MIN(100,100-((F74-1)/(MAX($F$5:$F$265)-1))*100))</x:f>
        <x:v>64.7649234020074</x:v>
      </x:c>
      <x:c r="M74" s="83" t="n">
        <x:f>MAX(0,MIN(100,50+(('Sources &amp; Model'!$B$4-F74)/('Sources &amp; Model'!$B$6*2.5))*45))</x:f>
        <x:v>0</x:v>
      </x:c>
      <x:c r="N74" s="83" t="n">
        <x:f>IF(V74="Mine",0,IF(OR(C74="RB",C74="WR"),MAX(30,62-COUNTIFS($C$5:$C$265,C74,$V$5:$V$265,"Mine")*5),IF(OR(C74="D/ST",C74="K"),IF('Sources &amp; Model'!$B$4&gt;='Sources &amp; Model'!$B$6*('Sources &amp; Model'!$B$8-2),62,12),IF(COUNTIFS($C$5:$C$265,C74,$V$5:$V$265,"Mine")=0,82,38))))</x:f>
        <x:v>62</x:v>
      </x:c>
      <x:c r="O74" s="65" t="n">
        <x:v>72.3</x:v>
      </x:c>
      <x:c r="P74" s="83" t="n">
        <x:f>MAX(0,MIN(100,100/(1+EXP(-(('Sources &amp; Model'!$B$5-F74)/MAX(2.5,I74))))))</x:f>
        <x:v>0.029326332049073197</x:v>
      </x:c>
      <x:c r="Q74" s="65" t="n">
        <x:v>90</x:v>
      </x:c>
      <x:c r="R74" s="65" t="n">
        <x:v>92</x:v>
      </x:c>
      <x:c r="S74" s="65" t="n">
        <x:v>38.4</x:v>
      </x:c>
      <x:c r="T74" s="65" t="n">
        <x:v>49.3</x:v>
      </x:c>
      <x:c r="U74" s="84" t="n">
        <x:f>IF(V74&lt;&gt;"Available","",(L74*'Sources &amp; Model'!$B$13+M74*'Sources &amp; Model'!$B$14+N74*'Sources &amp; Model'!$B$15+O74*'Sources &amp; Model'!$B$16+P74*'Sources &amp; Model'!$B$17+Q74*'Sources &amp; Model'!$B$18+R74*'Sources &amp; Model'!$B$19+S74*'Sources &amp; Model'!$B$20+T74*'Sources &amp; Model'!$B$21)/SUM('Sources &amp; Model'!$B$13:$B$21))</x:f>
        <x:v>50.34000658988742</x:v>
      </x:c>
      <x:c r="V74" s="5" t="str">
        <x:v>Available</x:v>
      </x:c>
      <x:c r="W74" t="str">
        <x:v>https://help.fantasyfootballcalculator.com/article/42-adp-rest-api</x:v>
      </x:c>
    </x:row>
    <x:row r="75">
      <x:c r="A75" s="28" t="n">
        <x:v>71</x:v>
      </x:c>
      <x:c r="B75" s="28" t="str">
        <x:v>Jayden Daniels</x:v>
      </x:c>
      <x:c r="C75" s="28" t="str">
        <x:v>QB</x:v>
      </x:c>
      <x:c r="D75" s="28" t="str">
        <x:v>WAS</x:v>
      </x:c>
      <x:c r="E75" s="81" t="n">
        <x:v>7</x:v>
      </x:c>
      <x:c r="F75" s="82" t="n">
        <x:v>71.5</x:v>
      </x:c>
      <x:c r="G75" s="82" t="n">
        <x:v>46</x:v>
      </x:c>
      <x:c r="H75" s="82" t="n">
        <x:v>106</x:v>
      </x:c>
      <x:c r="I75" s="82" t="n">
        <x:v>9.8</x:v>
      </x:c>
      <x:c r="J75" s="81" t="n">
        <x:v>488</x:v>
      </x:c>
      <x:c r="K75" s="81" t="n">
        <x:v>3</x:v>
      </x:c>
      <x:c r="L75" s="83" t="n">
        <x:f>MAX(0,MIN(100,100-((F75-1)/(MAX($F$5:$F$265)-1))*100))</x:f>
        <x:v>62.75752773375595</x:v>
      </x:c>
      <x:c r="M75" s="83" t="n">
        <x:f>MAX(0,MIN(100,50+(('Sources &amp; Model'!$B$4-F75)/('Sources &amp; Model'!$B$6*2.5))*45))</x:f>
        <x:v>0</x:v>
      </x:c>
      <x:c r="N75" s="83" t="n">
        <x:f>IF(V75="Mine",0,IF(OR(C75="RB",C75="WR"),MAX(30,62-COUNTIFS($C$5:$C$265,C75,$V$5:$V$265,"Mine")*5),IF(OR(C75="D/ST",C75="K"),IF('Sources &amp; Model'!$B$4&gt;='Sources &amp; Model'!$B$6*('Sources &amp; Model'!$B$8-2),62,12),IF(COUNTIFS($C$5:$C$265,C75,$V$5:$V$265,"Mine")=0,82,38))))</x:f>
        <x:v>82</x:v>
      </x:c>
      <x:c r="O75" s="65" t="n">
        <x:v>77.8</x:v>
      </x:c>
      <x:c r="P75" s="83" t="n">
        <x:f>MAX(0,MIN(100,100/(1+EXP(-(('Sources &amp; Model'!$B$5-F75)/MAX(2.5,I75))))))</x:f>
        <x:v>0.07506069291713742</x:v>
      </x:c>
      <x:c r="Q75" s="65" t="n">
        <x:v>90</x:v>
      </x:c>
      <x:c r="R75" s="65" t="n">
        <x:v>92</x:v>
      </x:c>
      <x:c r="S75" s="65" t="n">
        <x:v>41.1</x:v>
      </x:c>
      <x:c r="T75" s="65" t="n">
        <x:v>50.7</x:v>
      </x:c>
      <x:c r="U75" s="84" t="n">
        <x:f>IF(V75&lt;&gt;"Available","",(L75*'Sources &amp; Model'!$B$13+M75*'Sources &amp; Model'!$B$14+N75*'Sources &amp; Model'!$B$15+O75*'Sources &amp; Model'!$B$16+P75*'Sources &amp; Model'!$B$17+Q75*'Sources &amp; Model'!$B$18+R75*'Sources &amp; Model'!$B$19+S75*'Sources &amp; Model'!$B$20+T75*'Sources &amp; Model'!$B$21)/SUM('Sources &amp; Model'!$B$13:$B$21))</x:f>
        <x:v>53.390065498768735</x:v>
      </x:c>
      <x:c r="V75" s="5" t="str">
        <x:v>Available</x:v>
      </x:c>
      <x:c r="W75" t="str">
        <x:v>https://help.fantasyfootballcalculator.com/article/42-adp-rest-api</x:v>
      </x:c>
    </x:row>
    <x:row r="76">
      <x:c r="A76" s="28" t="n">
        <x:v>72</x:v>
      </x:c>
      <x:c r="B76" s="28" t="str">
        <x:v>Rhamondre Stevenson</x:v>
      </x:c>
      <x:c r="C76" s="28" t="str">
        <x:v>RB</x:v>
      </x:c>
      <x:c r="D76" s="28" t="str">
        <x:v>NE</x:v>
      </x:c>
      <x:c r="E76" s="81" t="n">
        <x:v>11</x:v>
      </x:c>
      <x:c r="F76" s="82" t="n">
        <x:v>71.7</x:v>
      </x:c>
      <x:c r="G76" s="82" t="n">
        <x:v>52</x:v>
      </x:c>
      <x:c r="H76" s="82" t="n">
        <x:v>92</x:v>
      </x:c>
      <x:c r="I76" s="82" t="n">
        <x:v>7.3</x:v>
      </x:c>
      <x:c r="J76" s="81" t="n">
        <x:v>363</x:v>
      </x:c>
      <x:c r="K76" s="81" t="n">
        <x:v>4</x:v>
      </x:c>
      <x:c r="L76" s="83" t="n">
        <x:f>MAX(0,MIN(100,100-((F76-1)/(MAX($F$5:$F$265)-1))*100))</x:f>
        <x:v>62.65187533016376</x:v>
      </x:c>
      <x:c r="M76" s="83" t="n">
        <x:f>MAX(0,MIN(100,50+(('Sources &amp; Model'!$B$4-F76)/('Sources &amp; Model'!$B$6*2.5))*45))</x:f>
        <x:v>0</x:v>
      </x:c>
      <x:c r="N76" s="83" t="n">
        <x:f>IF(V76="Mine",0,IF(OR(C76="RB",C76="WR"),MAX(30,62-COUNTIFS($C$5:$C$265,C76,$V$5:$V$265,"Mine")*5),IF(OR(C76="D/ST",C76="K"),IF('Sources &amp; Model'!$B$4&gt;='Sources &amp; Model'!$B$6*('Sources &amp; Model'!$B$8-2),62,12),IF(COUNTIFS($C$5:$C$265,C76,$V$5:$V$265,"Mine")=0,82,38))))</x:f>
        <x:v>62</x:v>
      </x:c>
      <x:c r="O76" s="65" t="n">
        <x:v>45.3</x:v>
      </x:c>
      <x:c r="P76" s="83" t="n">
        <x:f>MAX(0,MIN(100,100/(1+EXP(-(('Sources &amp; Model'!$B$5-F76)/MAX(2.5,I76))))))</x:f>
        <x:v>0.006221006722327152</x:v>
      </x:c>
      <x:c r="Q76" s="65" t="n">
        <x:v>68</x:v>
      </x:c>
      <x:c r="R76" s="65" t="n">
        <x:v>92</x:v>
      </x:c>
      <x:c r="S76" s="65" t="n">
        <x:v>40.6</x:v>
      </x:c>
      <x:c r="T76" s="65" t="n">
        <x:v>49.9</x:v>
      </x:c>
      <x:c r="U76" s="84" t="n">
        <x:f>IF(V76&lt;&gt;"Available","",(L76*'Sources &amp; Model'!$B$13+M76*'Sources &amp; Model'!$B$14+N76*'Sources &amp; Model'!$B$15+O76*'Sources &amp; Model'!$B$16+P76*'Sources &amp; Model'!$B$17+Q76*'Sources &amp; Model'!$B$18+R76*'Sources &amp; Model'!$B$19+S76*'Sources &amp; Model'!$B$20+T76*'Sources &amp; Model'!$B$21)/SUM('Sources &amp; Model'!$B$13:$B$21))</x:f>
        <x:v>45.10925971292791</x:v>
      </x:c>
      <x:c r="V76" s="5" t="str">
        <x:v>Available</x:v>
      </x:c>
      <x:c r="W76" t="str">
        <x:v>https://help.fantasyfootballcalculator.com/article/42-adp-rest-api</x:v>
      </x:c>
    </x:row>
    <x:row r="77">
      <x:c r="A77" s="28" t="n">
        <x:v>73</x:v>
      </x:c>
      <x:c r="B77" s="28" t="str">
        <x:v>Rico Dowdle</x:v>
      </x:c>
      <x:c r="C77" s="28" t="str">
        <x:v>RB</x:v>
      </x:c>
      <x:c r="D77" s="28" t="str">
        <x:v>PIT</x:v>
      </x:c>
      <x:c r="E77" s="81" t="n">
        <x:v>9</x:v>
      </x:c>
      <x:c r="F77" s="82" t="n">
        <x:v>72.3</x:v>
      </x:c>
      <x:c r="G77" s="82" t="n">
        <x:v>45</x:v>
      </x:c>
      <x:c r="H77" s="82" t="n">
        <x:v>100</x:v>
      </x:c>
      <x:c r="I77" s="82" t="n">
        <x:v>11.1</x:v>
      </x:c>
      <x:c r="J77" s="81" t="n">
        <x:v>327</x:v>
      </x:c>
      <x:c r="K77" s="81" t="n">
        <x:v>4</x:v>
      </x:c>
      <x:c r="L77" s="83" t="n">
        <x:f>MAX(0,MIN(100,100-((F77-1)/(MAX($F$5:$F$265)-1))*100))</x:f>
        <x:v>62.33491811938722</x:v>
      </x:c>
      <x:c r="M77" s="83" t="n">
        <x:f>MAX(0,MIN(100,50+(('Sources &amp; Model'!$B$4-F77)/('Sources &amp; Model'!$B$6*2.5))*45))</x:f>
        <x:v>0</x:v>
      </x:c>
      <x:c r="N77" s="83" t="n">
        <x:f>IF(V77="Mine",0,IF(OR(C77="RB",C77="WR"),MAX(30,62-COUNTIFS($C$5:$C$265,C77,$V$5:$V$265,"Mine")*5),IF(OR(C77="D/ST",C77="K"),IF('Sources &amp; Model'!$B$4&gt;='Sources &amp; Model'!$B$6*('Sources &amp; Model'!$B$8-2),62,12),IF(COUNTIFS($C$5:$C$265,C77,$V$5:$V$265,"Mine")=0,82,38))))</x:f>
        <x:v>62</x:v>
      </x:c>
      <x:c r="O77" s="65" t="n">
        <x:v>54.6</x:v>
      </x:c>
      <x:c r="P77" s="83" t="n">
        <x:f>MAX(0,MIN(100,100/(1+EXP(-(('Sources &amp; Model'!$B$5-F77)/MAX(2.5,I77))))))</x:f>
        <x:v>0.16204600350068057</x:v>
      </x:c>
      <x:c r="Q77" s="65" t="n">
        <x:v>68</x:v>
      </x:c>
      <x:c r="R77" s="65" t="n">
        <x:v>92</x:v>
      </x:c>
      <x:c r="S77" s="65" t="n">
        <x:v>33.7</x:v>
      </x:c>
      <x:c r="T77" s="65" t="n">
        <x:v>50.3</x:v>
      </x:c>
      <x:c r="U77" s="84" t="n">
        <x:f>IF(V77&lt;&gt;"Available","",(L77*'Sources &amp; Model'!$B$13+M77*'Sources &amp; Model'!$B$14+N77*'Sources &amp; Model'!$B$15+O77*'Sources &amp; Model'!$B$16+P77*'Sources &amp; Model'!$B$17+Q77*'Sources &amp; Model'!$B$18+R77*'Sources &amp; Model'!$B$19+S77*'Sources &amp; Model'!$B$20+T77*'Sources &amp; Model'!$B$21)/SUM('Sources &amp; Model'!$B$13:$B$21))</x:f>
        <x:v>45.999076760941726</x:v>
      </x:c>
      <x:c r="V77" s="5" t="str">
        <x:v>Available</x:v>
      </x:c>
      <x:c r="W77" t="str">
        <x:v>https://help.fantasyfootballcalculator.com/article/42-adp-rest-api</x:v>
      </x:c>
    </x:row>
    <x:row r="78">
      <x:c r="A78" s="28" t="n">
        <x:v>74</x:v>
      </x:c>
      <x:c r="B78" s="28" t="str">
        <x:v>Michael Pittman</x:v>
      </x:c>
      <x:c r="C78" s="28" t="str">
        <x:v>WR</x:v>
      </x:c>
      <x:c r="D78" s="28" t="str">
        <x:v>PIT</x:v>
      </x:c>
      <x:c r="E78" s="81" t="n">
        <x:v>9</x:v>
      </x:c>
      <x:c r="F78" s="82" t="n">
        <x:v>73.2</x:v>
      </x:c>
      <x:c r="G78" s="82" t="n">
        <x:v>53</x:v>
      </x:c>
      <x:c r="H78" s="82" t="n">
        <x:v>95</x:v>
      </x:c>
      <x:c r="I78" s="82" t="n">
        <x:v>7.5</x:v>
      </x:c>
      <x:c r="J78" s="81" t="n">
        <x:v>653</x:v>
      </x:c>
      <x:c r="K78" s="81" t="n">
        <x:v>5</x:v>
      </x:c>
      <x:c r="L78" s="83" t="n">
        <x:f>MAX(0,MIN(100,100-((F78-1)/(MAX($F$5:$F$265)-1))*100))</x:f>
        <x:v>61.8594823032224</x:v>
      </x:c>
      <x:c r="M78" s="83" t="n">
        <x:f>MAX(0,MIN(100,50+(('Sources &amp; Model'!$B$4-F78)/('Sources &amp; Model'!$B$6*2.5))*45))</x:f>
        <x:v>0</x:v>
      </x:c>
      <x:c r="N78" s="83" t="n">
        <x:f>IF(V78="Mine",0,IF(OR(C78="RB",C78="WR"),MAX(30,62-COUNTIFS($C$5:$C$265,C78,$V$5:$V$265,"Mine")*5),IF(OR(C78="D/ST",C78="K"),IF('Sources &amp; Model'!$B$4&gt;='Sources &amp; Model'!$B$6*('Sources &amp; Model'!$B$8-2),62,12),IF(COUNTIFS($C$5:$C$265,C78,$V$5:$V$265,"Mine")=0,82,38))))</x:f>
        <x:v>62</x:v>
      </x:c>
      <x:c r="O78" s="65" t="n">
        <x:v>52.4</x:v>
      </x:c>
      <x:c r="P78" s="83" t="n">
        <x:f>MAX(0,MIN(100,100/(1+EXP(-(('Sources &amp; Model'!$B$5-F78)/MAX(2.5,I78))))))</x:f>
        <x:v>0.006594215688802401</x:v>
      </x:c>
      <x:c r="Q78" s="65" t="n">
        <x:v>68</x:v>
      </x:c>
      <x:c r="R78" s="65" t="n">
        <x:v>52</x:v>
      </x:c>
      <x:c r="S78" s="65" t="n">
        <x:v>33.7</x:v>
      </x:c>
      <x:c r="T78" s="65" t="n">
        <x:v>51.6</x:v>
      </x:c>
      <x:c r="U78" s="84" t="n">
        <x:f>IF(V78&lt;&gt;"Available","",(L78*'Sources &amp; Model'!$B$13+M78*'Sources &amp; Model'!$B$14+N78*'Sources &amp; Model'!$B$15+O78*'Sources &amp; Model'!$B$16+P78*'Sources &amp; Model'!$B$17+Q78*'Sources &amp; Model'!$B$18+R78*'Sources &amp; Model'!$B$19+S78*'Sources &amp; Model'!$B$20+T78*'Sources &amp; Model'!$B$21)/SUM('Sources &amp; Model'!$B$13:$B$21))</x:f>
        <x:v>43.97088340466449</x:v>
      </x:c>
      <x:c r="V78" s="5" t="str">
        <x:v>Available</x:v>
      </x:c>
      <x:c r="W78" t="str">
        <x:v>https://help.fantasyfootballcalculator.com/article/42-adp-rest-api</x:v>
      </x:c>
    </x:row>
    <x:row r="79">
      <x:c r="A79" s="28" t="n">
        <x:v>75</x:v>
      </x:c>
      <x:c r="B79" s="28" t="str">
        <x:v>Chuba Hubbard</x:v>
      </x:c>
      <x:c r="C79" s="28" t="str">
        <x:v>RB</x:v>
      </x:c>
      <x:c r="D79" s="28" t="str">
        <x:v>CAR</x:v>
      </x:c>
      <x:c r="E79" s="81" t="n">
        <x:v>5</x:v>
      </x:c>
      <x:c r="F79" s="82" t="n">
        <x:v>74.6</x:v>
      </x:c>
      <x:c r="G79" s="82" t="n">
        <x:v>54</x:v>
      </x:c>
      <x:c r="H79" s="82" t="n">
        <x:v>95</x:v>
      </x:c>
      <x:c r="I79" s="82" t="n">
        <x:v>7.7</x:v>
      </x:c>
      <x:c r="J79" s="81" t="n">
        <x:v>264</x:v>
      </x:c>
      <x:c r="K79" s="81" t="n">
        <x:v>4</x:v>
      </x:c>
      <x:c r="L79" s="83" t="n">
        <x:f>MAX(0,MIN(100,100-((F79-1)/(MAX($F$5:$F$265)-1))*100))</x:f>
        <x:v>61.11991547807713</x:v>
      </x:c>
      <x:c r="M79" s="83" t="n">
        <x:f>MAX(0,MIN(100,50+(('Sources &amp; Model'!$B$4-F79)/('Sources &amp; Model'!$B$6*2.5))*45))</x:f>
        <x:v>0</x:v>
      </x:c>
      <x:c r="N79" s="83" t="n">
        <x:f>IF(V79="Mine",0,IF(OR(C79="RB",C79="WR"),MAX(30,62-COUNTIFS($C$5:$C$265,C79,$V$5:$V$265,"Mine")*5),IF(OR(C79="D/ST",C79="K"),IF('Sources &amp; Model'!$B$4&gt;='Sources &amp; Model'!$B$6*('Sources &amp; Model'!$B$8-2),62,12),IF(COUNTIFS($C$5:$C$265,C79,$V$5:$V$265,"Mine")=0,82,38))))</x:f>
        <x:v>62</x:v>
      </x:c>
      <x:c r="O79" s="65" t="n">
        <x:v>60.7</x:v>
      </x:c>
      <x:c r="P79" s="83" t="n">
        <x:f>MAX(0,MIN(100,100/(1+EXP(-(('Sources &amp; Model'!$B$5-F79)/MAX(2.5,I79))))))</x:f>
        <x:v>0.007059775882251613</x:v>
      </x:c>
      <x:c r="Q79" s="65" t="n">
        <x:v>90</x:v>
      </x:c>
      <x:c r="R79" s="65" t="n">
        <x:v>52</x:v>
      </x:c>
      <x:c r="S79" s="65" t="n">
        <x:v>43.9</x:v>
      </x:c>
      <x:c r="T79" s="65" t="n">
        <x:v>51</x:v>
      </x:c>
      <x:c r="U79" s="84" t="n">
        <x:f>IF(V79&lt;&gt;"Available","",(L79*'Sources &amp; Model'!$B$13+M79*'Sources &amp; Model'!$B$14+N79*'Sources &amp; Model'!$B$15+O79*'Sources &amp; Model'!$B$16+P79*'Sources &amp; Model'!$B$17+Q79*'Sources &amp; Model'!$B$18+R79*'Sources &amp; Model'!$B$19+S79*'Sources &amp; Model'!$B$20+T79*'Sources &amp; Model'!$B$21)/SUM('Sources &amp; Model'!$B$13:$B$21))</x:f>
        <x:v>46.233477240134455</x:v>
      </x:c>
      <x:c r="V79" s="5" t="str">
        <x:v>Available</x:v>
      </x:c>
      <x:c r="W79" t="str">
        <x:v>https://help.fantasyfootballcalculator.com/article/42-adp-rest-api</x:v>
      </x:c>
    </x:row>
    <x:row r="80">
      <x:c r="A80" s="28" t="n">
        <x:v>76</x:v>
      </x:c>
      <x:c r="B80" s="28" t="str">
        <x:v>Brian Thomas</x:v>
      </x:c>
      <x:c r="C80" s="28" t="str">
        <x:v>WR</x:v>
      </x:c>
      <x:c r="D80" s="28" t="str">
        <x:v>JAX</x:v>
      </x:c>
      <x:c r="E80" s="81" t="n">
        <x:v>7</x:v>
      </x:c>
      <x:c r="F80" s="82" t="n">
        <x:v>75.1</x:v>
      </x:c>
      <x:c r="G80" s="82" t="n">
        <x:v>51</x:v>
      </x:c>
      <x:c r="H80" s="82" t="n">
        <x:v>99</x:v>
      </x:c>
      <x:c r="I80" s="82" t="n">
        <x:v>9</x:v>
      </x:c>
      <x:c r="J80" s="81" t="n">
        <x:v>1046</x:v>
      </x:c>
      <x:c r="K80" s="81" t="n">
        <x:v>5</x:v>
      </x:c>
      <x:c r="L80" s="83" t="n">
        <x:f>MAX(0,MIN(100,100-((F80-1)/(MAX($F$5:$F$265)-1))*100))</x:f>
        <x:v>60.85578446909668</x:v>
      </x:c>
      <x:c r="M80" s="83" t="n">
        <x:f>MAX(0,MIN(100,50+(('Sources &amp; Model'!$B$4-F80)/('Sources &amp; Model'!$B$6*2.5))*45))</x:f>
        <x:v>0</x:v>
      </x:c>
      <x:c r="N80" s="83" t="n">
        <x:f>IF(V80="Mine",0,IF(OR(C80="RB",C80="WR"),MAX(30,62-COUNTIFS($C$5:$C$265,C80,$V$5:$V$265,"Mine")*5),IF(OR(C80="D/ST",C80="K"),IF('Sources &amp; Model'!$B$4&gt;='Sources &amp; Model'!$B$6*('Sources &amp; Model'!$B$8-2),62,12),IF(COUNTIFS($C$5:$C$265,C80,$V$5:$V$265,"Mine")=0,82,38))))</x:f>
        <x:v>62</x:v>
      </x:c>
      <x:c r="O80" s="65" t="n">
        <x:v>42</x:v>
      </x:c>
      <x:c r="P80" s="83" t="n">
        <x:f>MAX(0,MIN(100,100/(1+EXP(-(('Sources &amp; Model'!$B$5-F80)/MAX(2.5,I80))))))</x:f>
        <x:v>0.026557880409392633</x:v>
      </x:c>
      <x:c r="Q80" s="65" t="n">
        <x:v>68</x:v>
      </x:c>
      <x:c r="R80" s="65" t="n">
        <x:v>92</x:v>
      </x:c>
      <x:c r="S80" s="65" t="n">
        <x:v>38.4</x:v>
      </x:c>
      <x:c r="T80" s="65" t="n">
        <x:v>49.7</x:v>
      </x:c>
      <x:c r="U80" s="84" t="n">
        <x:f>IF(V80&lt;&gt;"Available","",(L80*'Sources &amp; Model'!$B$13+M80*'Sources &amp; Model'!$B$14+N80*'Sources &amp; Model'!$B$15+O80*'Sources &amp; Model'!$B$16+P80*'Sources &amp; Model'!$B$17+Q80*'Sources &amp; Model'!$B$18+R80*'Sources &amp; Model'!$B$19+S80*'Sources &amp; Model'!$B$20+T80*'Sources &amp; Model'!$B$21)/SUM('Sources &amp; Model'!$B$13:$B$21))</x:f>
        <x:v>44.05862250753381</x:v>
      </x:c>
      <x:c r="V80" s="5" t="str">
        <x:v>Available</x:v>
      </x:c>
      <x:c r="W80" t="str">
        <x:v>https://help.fantasyfootballcalculator.com/article/42-adp-rest-api</x:v>
      </x:c>
    </x:row>
    <x:row r="81">
      <x:c r="A81" s="28" t="n">
        <x:v>77</x:v>
      </x:c>
      <x:c r="B81" s="28" t="str">
        <x:v>Carnell Tate</x:v>
      </x:c>
      <x:c r="C81" s="28" t="str">
        <x:v>WR</x:v>
      </x:c>
      <x:c r="D81" s="28" t="str">
        <x:v>TEN</x:v>
      </x:c>
      <x:c r="E81" s="81" t="n">
        <x:v>9</x:v>
      </x:c>
      <x:c r="F81" s="82" t="n">
        <x:v>75.1</x:v>
      </x:c>
      <x:c r="G81" s="82" t="n">
        <x:v>53</x:v>
      </x:c>
      <x:c r="H81" s="82" t="n">
        <x:v>100</x:v>
      </x:c>
      <x:c r="I81" s="82" t="n">
        <x:v>8.4</x:v>
      </x:c>
      <x:c r="J81" s="81" t="n">
        <x:v>1256</x:v>
      </x:c>
      <x:c r="K81" s="81" t="n">
        <x:v>5</x:v>
      </x:c>
      <x:c r="L81" s="83" t="n">
        <x:f>MAX(0,MIN(100,100-((F81-1)/(MAX($F$5:$F$265)-1))*100))</x:f>
        <x:v>60.85578446909668</x:v>
      </x:c>
      <x:c r="M81" s="83" t="n">
        <x:f>MAX(0,MIN(100,50+(('Sources &amp; Model'!$B$4-F81)/('Sources &amp; Model'!$B$6*2.5))*45))</x:f>
        <x:v>0</x:v>
      </x:c>
      <x:c r="N81" s="83" t="n">
        <x:f>IF(V81="Mine",0,IF(OR(C81="RB",C81="WR"),MAX(30,62-COUNTIFS($C$5:$C$265,C81,$V$5:$V$265,"Mine")*5),IF(OR(C81="D/ST",C81="K"),IF('Sources &amp; Model'!$B$4&gt;='Sources &amp; Model'!$B$6*('Sources &amp; Model'!$B$8-2),62,12),IF(COUNTIFS($C$5:$C$265,C81,$V$5:$V$265,"Mine")=0,82,38))))</x:f>
        <x:v>62</x:v>
      </x:c>
      <x:c r="O81" s="65" t="n">
        <x:v>66.2</x:v>
      </x:c>
      <x:c r="P81" s="83" t="n">
        <x:f>MAX(0,MIN(100,100/(1+EXP(-(('Sources &amp; Model'!$B$5-F81)/MAX(2.5,I81))))))</x:f>
        <x:v>0.014751567775212774</x:v>
      </x:c>
      <x:c r="Q81" s="65" t="n">
        <x:v>90</x:v>
      </x:c>
      <x:c r="R81" s="65" t="n">
        <x:v>92</x:v>
      </x:c>
      <x:c r="S81" s="65" t="n">
        <x:v>50.9</x:v>
      </x:c>
      <x:c r="T81" s="65" t="n">
        <x:v>50</x:v>
      </x:c>
      <x:c r="U81" s="84" t="n">
        <x:f>IF(V81&lt;&gt;"Available","",(L81*'Sources &amp; Model'!$B$13+M81*'Sources &amp; Model'!$B$14+N81*'Sources &amp; Model'!$B$15+O81*'Sources &amp; Model'!$B$16+P81*'Sources &amp; Model'!$B$17+Q81*'Sources &amp; Model'!$B$18+R81*'Sources &amp; Model'!$B$19+S81*'Sources &amp; Model'!$B$20+T81*'Sources &amp; Model'!$B$21)/SUM('Sources &amp; Model'!$B$13:$B$21))</x:f>
        <x:v>48.53444187627039</x:v>
      </x:c>
      <x:c r="V81" s="5" t="str">
        <x:v>Available</x:v>
      </x:c>
      <x:c r="W81" t="str">
        <x:v>https://help.fantasyfootballcalculator.com/article/42-adp-rest-api</x:v>
      </x:c>
    </x:row>
    <x:row r="82">
      <x:c r="A82" s="28" t="n">
        <x:v>78</x:v>
      </x:c>
      <x:c r="B82" s="28" t="str">
        <x:v>Kyle Pitts</x:v>
      </x:c>
      <x:c r="C82" s="28" t="str">
        <x:v>TE</x:v>
      </x:c>
      <x:c r="D82" s="28" t="str">
        <x:v>ATL</x:v>
      </x:c>
      <x:c r="E82" s="81" t="n">
        <x:v>11</x:v>
      </x:c>
      <x:c r="F82" s="82" t="n">
        <x:v>77.7</x:v>
      </x:c>
      <x:c r="G82" s="82" t="n">
        <x:v>55</x:v>
      </x:c>
      <x:c r="H82" s="82" t="n">
        <x:v>99</x:v>
      </x:c>
      <x:c r="I82" s="82" t="n">
        <x:v>8.7</x:v>
      </x:c>
      <x:c r="J82" s="81" t="n">
        <x:v>311</x:v>
      </x:c>
      <x:c r="K82" s="81" t="n">
        <x:v>3</x:v>
      </x:c>
      <x:c r="L82" s="83" t="n">
        <x:f>MAX(0,MIN(100,100-((F82-1)/(MAX($F$5:$F$265)-1))*100))</x:f>
        <x:v>59.48230322239831</x:v>
      </x:c>
      <x:c r="M82" s="83" t="n">
        <x:f>MAX(0,MIN(100,50+(('Sources &amp; Model'!$B$4-F82)/('Sources &amp; Model'!$B$6*2.5))*45))</x:f>
        <x:v>0</x:v>
      </x:c>
      <x:c r="N82" s="83" t="n">
        <x:f>IF(V82="Mine",0,IF(OR(C82="RB",C82="WR"),MAX(30,62-COUNTIFS($C$5:$C$265,C82,$V$5:$V$265,"Mine")*5),IF(OR(C82="D/ST",C82="K"),IF('Sources &amp; Model'!$B$4&gt;='Sources &amp; Model'!$B$6*('Sources &amp; Model'!$B$8-2),62,12),IF(COUNTIFS($C$5:$C$265,C82,$V$5:$V$265,"Mine")=0,82,38))))</x:f>
        <x:v>82</x:v>
      </x:c>
      <x:c r="O82" s="65" t="n">
        <x:v>51.9</x:v>
      </x:c>
      <x:c r="P82" s="83" t="n">
        <x:f>MAX(0,MIN(100,100/(1+EXP(-(('Sources &amp; Model'!$B$5-F82)/MAX(2.5,I82))))))</x:f>
        <x:v>0.014830489974972029</x:v>
      </x:c>
      <x:c r="Q82" s="65" t="n">
        <x:v>90</x:v>
      </x:c>
      <x:c r="R82" s="65" t="n">
        <x:v>92</x:v>
      </x:c>
      <x:c r="S82" s="65" t="n">
        <x:v>42.1</x:v>
      </x:c>
      <x:c r="T82" s="65" t="n">
        <x:v>50.3</x:v>
      </x:c>
      <x:c r="U82" s="84" t="n">
        <x:f>IF(V82&lt;&gt;"Available","",(L82*'Sources &amp; Model'!$B$13+M82*'Sources &amp; Model'!$B$14+N82*'Sources &amp; Model'!$B$15+O82*'Sources &amp; Model'!$B$16+P82*'Sources &amp; Model'!$B$17+Q82*'Sources &amp; Model'!$B$18+R82*'Sources &amp; Model'!$B$19+S82*'Sources &amp; Model'!$B$20+T82*'Sources &amp; Model'!$B$21)/SUM('Sources &amp; Model'!$B$13:$B$21))</x:f>
        <x:v>49.17846614461292</x:v>
      </x:c>
      <x:c r="V82" s="5" t="str">
        <x:v>Available</x:v>
      </x:c>
      <x:c r="W82" t="str">
        <x:v>https://help.fantasyfootballcalculator.com/article/42-adp-rest-api</x:v>
      </x:c>
    </x:row>
    <x:row r="83">
      <x:c r="A83" s="28" t="n">
        <x:v>79</x:v>
      </x:c>
      <x:c r="B83" s="28" t="str">
        <x:v>Jadarian Price</x:v>
      </x:c>
      <x:c r="C83" s="28" t="str">
        <x:v>RB</x:v>
      </x:c>
      <x:c r="D83" s="28" t="str">
        <x:v>SEA</x:v>
      </x:c>
      <x:c r="E83" s="81" t="n">
        <x:v>11</x:v>
      </x:c>
      <x:c r="F83" s="82" t="n">
        <x:v>78</x:v>
      </x:c>
      <x:c r="G83" s="82" t="n">
        <x:v>39</x:v>
      </x:c>
      <x:c r="H83" s="82" t="n">
        <x:v>117</x:v>
      </x:c>
      <x:c r="I83" s="82" t="n">
        <x:v>14.8</x:v>
      </x:c>
      <x:c r="J83" s="81" t="n">
        <x:v>1804</x:v>
      </x:c>
      <x:c r="K83" s="81" t="n">
        <x:v>4</x:v>
      </x:c>
      <x:c r="L83" s="83" t="n">
        <x:f>MAX(0,MIN(100,100-((F83-1)/(MAX($F$5:$F$265)-1))*100))</x:f>
        <x:v>59.32382461701004</x:v>
      </x:c>
      <x:c r="M83" s="83" t="n">
        <x:f>MAX(0,MIN(100,50+(('Sources &amp; Model'!$B$4-F83)/('Sources &amp; Model'!$B$6*2.5))*45))</x:f>
        <x:v>0</x:v>
      </x:c>
      <x:c r="N83" s="83" t="n">
        <x:f>IF(V83="Mine",0,IF(OR(C83="RB",C83="WR"),MAX(30,62-COUNTIFS($C$5:$C$265,C83,$V$5:$V$265,"Mine")*5),IF(OR(C83="D/ST",C83="K"),IF('Sources &amp; Model'!$B$4&gt;='Sources &amp; Model'!$B$6*('Sources &amp; Model'!$B$8-2),62,12),IF(COUNTIFS($C$5:$C$265,C83,$V$5:$V$265,"Mine")=0,82,38))))</x:f>
        <x:v>62</x:v>
      </x:c>
      <x:c r="O83" s="65" t="n">
        <x:v>72.8</x:v>
      </x:c>
      <x:c r="P83" s="83" t="n">
        <x:f>MAX(0,MIN(100,100/(1+EXP(-(('Sources &amp; Model'!$B$5-F83)/MAX(2.5,I83))))))</x:f>
        <x:v>0.5471572106191078</x:v>
      </x:c>
      <x:c r="Q83" s="65" t="n">
        <x:v>90</x:v>
      </x:c>
      <x:c r="R83" s="65" t="n">
        <x:v>52</x:v>
      </x:c>
      <x:c r="S83" s="65" t="n">
        <x:v>33.4</x:v>
      </x:c>
      <x:c r="T83" s="65" t="n">
        <x:v>50</x:v>
      </x:c>
      <x:c r="U83" s="84" t="n">
        <x:f>IF(V83&lt;&gt;"Available","",(L83*'Sources &amp; Model'!$B$13+M83*'Sources &amp; Model'!$B$14+N83*'Sources &amp; Model'!$B$15+O83*'Sources &amp; Model'!$B$16+P83*'Sources &amp; Model'!$B$17+Q83*'Sources &amp; Model'!$B$18+R83*'Sources &amp; Model'!$B$19+S83*'Sources &amp; Model'!$B$20+T83*'Sources &amp; Model'!$B$21)/SUM('Sources &amp; Model'!$B$13:$B$21))</x:f>
        <x:v>46.90881609084533</x:v>
      </x:c>
      <x:c r="V83" s="5" t="str">
        <x:v>Available</x:v>
      </x:c>
      <x:c r="W83" t="str">
        <x:v>https://help.fantasyfootballcalculator.com/article/42-adp-rest-api</x:v>
      </x:c>
    </x:row>
    <x:row r="84">
      <x:c r="A84" s="28" t="n">
        <x:v>80</x:v>
      </x:c>
      <x:c r="B84" s="28" t="str">
        <x:v>Jalen Hurts</x:v>
      </x:c>
      <x:c r="C84" s="28" t="str">
        <x:v>QB</x:v>
      </x:c>
      <x:c r="D84" s="28" t="str">
        <x:v>PHI</x:v>
      </x:c>
      <x:c r="E84" s="81" t="n">
        <x:v>10</x:v>
      </x:c>
      <x:c r="F84" s="82" t="n">
        <x:v>78</x:v>
      </x:c>
      <x:c r="G84" s="82" t="n">
        <x:v>51</x:v>
      </x:c>
      <x:c r="H84" s="82" t="n">
        <x:v>120</x:v>
      </x:c>
      <x:c r="I84" s="82" t="n">
        <x:v>10.5</x:v>
      </x:c>
      <x:c r="J84" s="81" t="n">
        <x:v>534</x:v>
      </x:c>
      <x:c r="K84" s="81" t="n">
        <x:v>3</x:v>
      </x:c>
      <x:c r="L84" s="83" t="n">
        <x:f>MAX(0,MIN(100,100-((F84-1)/(MAX($F$5:$F$265)-1))*100))</x:f>
        <x:v>59.32382461701004</x:v>
      </x:c>
      <x:c r="M84" s="83" t="n">
        <x:f>MAX(0,MIN(100,50+(('Sources &amp; Model'!$B$4-F84)/('Sources &amp; Model'!$B$6*2.5))*45))</x:f>
        <x:v>0</x:v>
      </x:c>
      <x:c r="N84" s="83" t="n">
        <x:f>IF(V84="Mine",0,IF(OR(C84="RB",C84="WR"),MAX(30,62-COUNTIFS($C$5:$C$265,C84,$V$5:$V$265,"Mine")*5),IF(OR(C84="D/ST",C84="K"),IF('Sources &amp; Model'!$B$4&gt;='Sources &amp; Model'!$B$6*('Sources &amp; Model'!$B$8-2),62,12),IF(COUNTIFS($C$5:$C$265,C84,$V$5:$V$265,"Mine")=0,82,38))))</x:f>
        <x:v>82</x:v>
      </x:c>
      <x:c r="O84" s="65" t="n">
        <x:v>65.1</x:v>
      </x:c>
      <x:c r="P84" s="83" t="n">
        <x:f>MAX(0,MIN(100,100/(1+EXP(-(('Sources &amp; Model'!$B$5-F84)/MAX(2.5,I84))))))</x:f>
        <x:v>0.06529653375526924</x:v>
      </x:c>
      <x:c r="Q84" s="65" t="n">
        <x:v>90</x:v>
      </x:c>
      <x:c r="R84" s="65" t="n">
        <x:v>92</x:v>
      </x:c>
      <x:c r="S84" s="65" t="n">
        <x:v>29.7</x:v>
      </x:c>
      <x:c r="T84" s="65" t="n">
        <x:v>50.9</x:v>
      </x:c>
      <x:c r="U84" s="84" t="n">
        <x:f>IF(V84&lt;&gt;"Available","",(L84*'Sources &amp; Model'!$B$13+M84*'Sources &amp; Model'!$B$14+N84*'Sources &amp; Model'!$B$15+O84*'Sources &amp; Model'!$B$16+P84*'Sources &amp; Model'!$B$17+Q84*'Sources &amp; Model'!$B$18+R84*'Sources &amp; Model'!$B$19+S84*'Sources &amp; Model'!$B$20+T84*'Sources &amp; Model'!$B$21)/SUM('Sources &amp; Model'!$B$13:$B$21))</x:f>
        <x:v>50.47163002315893</x:v>
      </x:c>
      <x:c r="V84" s="5" t="str">
        <x:v>Available</x:v>
      </x:c>
      <x:c r="W84" t="str">
        <x:v>https://help.fantasyfootballcalculator.com/article/42-adp-rest-api</x:v>
      </x:c>
    </x:row>
    <x:row r="85">
      <x:c r="A85" s="28" t="n">
        <x:v>81</x:v>
      </x:c>
      <x:c r="B85" s="28" t="str">
        <x:v>Harold Fannin</x:v>
      </x:c>
      <x:c r="C85" s="28" t="str">
        <x:v>TE</x:v>
      </x:c>
      <x:c r="D85" s="28" t="str">
        <x:v>CLE</x:v>
      </x:c>
      <x:c r="E85" s="81" t="n">
        <x:v>11</x:v>
      </x:c>
      <x:c r="F85" s="82" t="n">
        <x:v>79.5</x:v>
      </x:c>
      <x:c r="G85" s="82" t="n">
        <x:v>54</x:v>
      </x:c>
      <x:c r="H85" s="82" t="n">
        <x:v>128</x:v>
      </x:c>
      <x:c r="I85" s="82" t="n">
        <x:v>9.7</x:v>
      </x:c>
      <x:c r="J85" s="81" t="n">
        <x:v>151</x:v>
      </x:c>
      <x:c r="K85" s="81" t="n">
        <x:v>3</x:v>
      </x:c>
      <x:c r="L85" s="83" t="n">
        <x:f>MAX(0,MIN(100,100-((F85-1)/(MAX($F$5:$F$265)-1))*100))</x:f>
        <x:v>58.53143159006868</x:v>
      </x:c>
      <x:c r="M85" s="83" t="n">
        <x:f>MAX(0,MIN(100,50+(('Sources &amp; Model'!$B$4-F85)/('Sources &amp; Model'!$B$6*2.5))*45))</x:f>
        <x:v>0</x:v>
      </x:c>
      <x:c r="N85" s="83" t="n">
        <x:f>IF(V85="Mine",0,IF(OR(C85="RB",C85="WR"),MAX(30,62-COUNTIFS($C$5:$C$265,C85,$V$5:$V$265,"Mine")*5),IF(OR(C85="D/ST",C85="K"),IF('Sources &amp; Model'!$B$4&gt;='Sources &amp; Model'!$B$6*('Sources &amp; Model'!$B$8-2),62,12),IF(COUNTIFS($C$5:$C$265,C85,$V$5:$V$265,"Mine")=0,82,38))))</x:f>
        <x:v>82</x:v>
      </x:c>
      <x:c r="O85" s="65" t="n">
        <x:v>85.5</x:v>
      </x:c>
      <x:c r="P85" s="83" t="n">
        <x:f>MAX(0,MIN(100,100/(1+EXP(-(('Sources &amp; Model'!$B$5-F85)/MAX(2.5,I85))))))</x:f>
        <x:v>0.030564410269710133</x:v>
      </x:c>
      <x:c r="Q85" s="65" t="n">
        <x:v>90</x:v>
      </x:c>
      <x:c r="R85" s="65" t="n">
        <x:v>92</x:v>
      </x:c>
      <x:c r="S85" s="65" t="n">
        <x:v>49.4</x:v>
      </x:c>
      <x:c r="T85" s="65" t="n">
        <x:v>50</x:v>
      </x:c>
      <x:c r="U85" s="84" t="n">
        <x:f>IF(V85&lt;&gt;"Available","",(L85*'Sources &amp; Model'!$B$13+M85*'Sources &amp; Model'!$B$14+N85*'Sources &amp; Model'!$B$15+O85*'Sources &amp; Model'!$B$16+P85*'Sources &amp; Model'!$B$17+Q85*'Sources &amp; Model'!$B$18+R85*'Sources &amp; Model'!$B$19+S85*'Sources &amp; Model'!$B$20+T85*'Sources &amp; Model'!$B$21)/SUM('Sources &amp; Model'!$B$13:$B$21))</x:f>
        <x:v>53.03174318165033</x:v>
      </x:c>
      <x:c r="V85" s="5" t="str">
        <x:v>Available</x:v>
      </x:c>
      <x:c r="W85" t="str">
        <x:v>https://help.fantasyfootballcalculator.com/article/42-adp-rest-api</x:v>
      </x:c>
    </x:row>
    <x:row r="86">
      <x:c r="A86" s="28" t="n">
        <x:v>82</x:v>
      </x:c>
      <x:c r="B86" s="28" t="str">
        <x:v>Wan'Dale Robinson</x:v>
      </x:c>
      <x:c r="C86" s="28" t="str">
        <x:v>WR</x:v>
      </x:c>
      <x:c r="D86" s="28" t="str">
        <x:v>TEN</x:v>
      </x:c>
      <x:c r="E86" s="81" t="n">
        <x:v>9</x:v>
      </x:c>
      <x:c r="F86" s="82" t="n">
        <x:v>79.5</x:v>
      </x:c>
      <x:c r="G86" s="82" t="n">
        <x:v>55</x:v>
      </x:c>
      <x:c r="H86" s="82" t="n">
        <x:v>105</x:v>
      </x:c>
      <x:c r="I86" s="82" t="n">
        <x:v>11</x:v>
      </x:c>
      <x:c r="J86" s="81" t="n">
        <x:v>497</x:v>
      </x:c>
      <x:c r="K86" s="81" t="n">
        <x:v>5</x:v>
      </x:c>
      <x:c r="L86" s="83" t="n">
        <x:f>MAX(0,MIN(100,100-((F86-1)/(MAX($F$5:$F$265)-1))*100))</x:f>
        <x:v>58.53143159006868</x:v>
      </x:c>
      <x:c r="M86" s="83" t="n">
        <x:f>MAX(0,MIN(100,50+(('Sources &amp; Model'!$B$4-F86)/('Sources &amp; Model'!$B$6*2.5))*45))</x:f>
        <x:v>0</x:v>
      </x:c>
      <x:c r="N86" s="83" t="n">
        <x:f>IF(V86="Mine",0,IF(OR(C86="RB",C86="WR"),MAX(30,62-COUNTIFS($C$5:$C$265,C86,$V$5:$V$265,"Mine")*5),IF(OR(C86="D/ST",C86="K"),IF('Sources &amp; Model'!$B$4&gt;='Sources &amp; Model'!$B$6*('Sources &amp; Model'!$B$8-2),62,12),IF(COUNTIFS($C$5:$C$265,C86,$V$5:$V$265,"Mine")=0,82,38))))</x:f>
        <x:v>62</x:v>
      </x:c>
      <x:c r="O86" s="65" t="n">
        <x:v>57.4</x:v>
      </x:c>
      <x:c r="P86" s="83" t="n">
        <x:f>MAX(0,MIN(100,100/(1+EXP(-(('Sources &amp; Model'!$B$5-F86)/MAX(2.5,I86))))))</x:f>
        <x:v>0.0795007539196462</x:v>
      </x:c>
      <x:c r="Q86" s="65" t="n">
        <x:v>68</x:v>
      </x:c>
      <x:c r="R86" s="65" t="n">
        <x:v>92</x:v>
      </x:c>
      <x:c r="S86" s="65" t="n">
        <x:v>50.9</x:v>
      </x:c>
      <x:c r="T86" s="65" t="n">
        <x:v>49.3</x:v>
      </x:c>
      <x:c r="U86" s="84" t="n">
        <x:f>IF(V86&lt;&gt;"Available","",(L86*'Sources &amp; Model'!$B$13+M86*'Sources &amp; Model'!$B$14+N86*'Sources &amp; Model'!$B$15+O86*'Sources &amp; Model'!$B$16+P86*'Sources &amp; Model'!$B$17+Q86*'Sources &amp; Model'!$B$18+R86*'Sources &amp; Model'!$B$19+S86*'Sources &amp; Model'!$B$20+T86*'Sources &amp; Model'!$B$21)/SUM('Sources &amp; Model'!$B$13:$B$21))</x:f>
        <x:v>45.36763681601532</x:v>
      </x:c>
      <x:c r="V86" s="5" t="str">
        <x:v>Available</x:v>
      </x:c>
      <x:c r="W86" t="str">
        <x:v>https://help.fantasyfootballcalculator.com/article/42-adp-rest-api</x:v>
      </x:c>
    </x:row>
    <x:row r="87">
      <x:c r="A87" s="28" t="n">
        <x:v>83</x:v>
      </x:c>
      <x:c r="B87" s="28" t="str">
        <x:v>Matthew Stafford</x:v>
      </x:c>
      <x:c r="C87" s="28" t="str">
        <x:v>QB</x:v>
      </x:c>
      <x:c r="D87" s="28" t="str">
        <x:v>LAR</x:v>
      </x:c>
      <x:c r="E87" s="81" t="n">
        <x:v>11</x:v>
      </x:c>
      <x:c r="F87" s="82" t="n">
        <x:v>82.2</x:v>
      </x:c>
      <x:c r="G87" s="82" t="n">
        <x:v>50</x:v>
      </x:c>
      <x:c r="H87" s="82" t="n">
        <x:v>112</x:v>
      </x:c>
      <x:c r="I87" s="82" t="n">
        <x:v>12.2</x:v>
      </x:c>
      <x:c r="J87" s="81" t="n">
        <x:v>437</x:v>
      </x:c>
      <x:c r="K87" s="81" t="n">
        <x:v>3</x:v>
      </x:c>
      <x:c r="L87" s="83" t="n">
        <x:f>MAX(0,MIN(100,100-((F87-1)/(MAX($F$5:$F$265)-1))*100))</x:f>
        <x:v>57.10512414157422</x:v>
      </x:c>
      <x:c r="M87" s="83" t="n">
        <x:f>MAX(0,MIN(100,50+(('Sources &amp; Model'!$B$4-F87)/('Sources &amp; Model'!$B$6*2.5))*45))</x:f>
        <x:v>0</x:v>
      </x:c>
      <x:c r="N87" s="83" t="n">
        <x:f>IF(V87="Mine",0,IF(OR(C87="RB",C87="WR"),MAX(30,62-COUNTIFS($C$5:$C$265,C87,$V$5:$V$265,"Mine")*5),IF(OR(C87="D/ST",C87="K"),IF('Sources &amp; Model'!$B$4&gt;='Sources &amp; Model'!$B$6*('Sources &amp; Model'!$B$8-2),62,12),IF(COUNTIFS($C$5:$C$265,C87,$V$5:$V$265,"Mine")=0,82,38))))</x:f>
        <x:v>82</x:v>
      </x:c>
      <x:c r="O87" s="65" t="n">
        <x:v>60.1</x:v>
      </x:c>
      <x:c r="P87" s="83" t="n">
        <x:f>MAX(0,MIN(100,100/(1+EXP(-(('Sources &amp; Model'!$B$5-F87)/MAX(2.5,I87))))))</x:f>
        <x:v>0.1284965387774549</x:v>
      </x:c>
      <x:c r="Q87" s="65" t="n">
        <x:v>90</x:v>
      </x:c>
      <x:c r="R87" s="65" t="n">
        <x:v>92</x:v>
      </x:c>
      <x:c r="S87" s="65" t="n">
        <x:v>45.2</x:v>
      </x:c>
      <x:c r="T87" s="65" t="n">
        <x:v>50</x:v>
      </x:c>
      <x:c r="U87" s="84" t="n">
        <x:f>IF(V87&lt;&gt;"Available","",(L87*'Sources &amp; Model'!$B$13+M87*'Sources &amp; Model'!$B$14+N87*'Sources &amp; Model'!$B$15+O87*'Sources &amp; Model'!$B$16+P87*'Sources &amp; Model'!$B$17+Q87*'Sources &amp; Model'!$B$18+R87*'Sources &amp; Model'!$B$19+S87*'Sources &amp; Model'!$B$20+T87*'Sources &amp; Model'!$B$21)/SUM('Sources &amp; Model'!$B$13:$B$21))</x:f>
        <x:v>49.424591862012974</x:v>
      </x:c>
      <x:c r="V87" s="5" t="str">
        <x:v>Available</x:v>
      </x:c>
      <x:c r="W87" t="str">
        <x:v>https://help.fantasyfootballcalculator.com/article/42-adp-rest-api</x:v>
      </x:c>
    </x:row>
    <x:row r="88">
      <x:c r="A88" s="28" t="n">
        <x:v>84</x:v>
      </x:c>
      <x:c r="B88" s="28" t="str">
        <x:v>Jakobi Meyers</x:v>
      </x:c>
      <x:c r="C88" s="28" t="str">
        <x:v>WR</x:v>
      </x:c>
      <x:c r="D88" s="28" t="str">
        <x:v>JAX</x:v>
      </x:c>
      <x:c r="E88" s="81" t="n">
        <x:v>7</x:v>
      </x:c>
      <x:c r="F88" s="82" t="n">
        <x:v>82.3</x:v>
      </x:c>
      <x:c r="G88" s="82" t="n">
        <x:v>57</x:v>
      </x:c>
      <x:c r="H88" s="82" t="n">
        <x:v>103</x:v>
      </x:c>
      <x:c r="I88" s="82" t="n">
        <x:v>10.1</x:v>
      </x:c>
      <x:c r="J88" s="81" t="n">
        <x:v>276</x:v>
      </x:c>
      <x:c r="K88" s="81" t="n">
        <x:v>5</x:v>
      </x:c>
      <x:c r="L88" s="83" t="n">
        <x:f>MAX(0,MIN(100,100-((F88-1)/(MAX($F$5:$F$265)-1))*100))</x:f>
        <x:v>57.052297939778136</x:v>
      </x:c>
      <x:c r="M88" s="83" t="n">
        <x:f>MAX(0,MIN(100,50+(('Sources &amp; Model'!$B$4-F88)/('Sources &amp; Model'!$B$6*2.5))*45))</x:f>
        <x:v>0</x:v>
      </x:c>
      <x:c r="N88" s="83" t="n">
        <x:f>IF(V88="Mine",0,IF(OR(C88="RB",C88="WR"),MAX(30,62-COUNTIFS($C$5:$C$265,C88,$V$5:$V$265,"Mine")*5),IF(OR(C88="D/ST",C88="K"),IF('Sources &amp; Model'!$B$4&gt;='Sources &amp; Model'!$B$6*('Sources &amp; Model'!$B$8-2),62,12),IF(COUNTIFS($C$5:$C$265,C88,$V$5:$V$265,"Mine")=0,82,38))))</x:f>
        <x:v>62</x:v>
      </x:c>
      <x:c r="O88" s="65" t="n">
        <x:v>44.2</x:v>
      </x:c>
      <x:c r="P88" s="83" t="n">
        <x:f>MAX(0,MIN(100,100/(1+EXP(-(('Sources &amp; Model'!$B$5-F88)/MAX(2.5,I88))))))</x:f>
        <x:v>0.03191580384642794</x:v>
      </x:c>
      <x:c r="Q88" s="65" t="n">
        <x:v>50</x:v>
      </x:c>
      <x:c r="R88" s="65" t="n">
        <x:v>92</x:v>
      </x:c>
      <x:c r="S88" s="65" t="n">
        <x:v>38.4</x:v>
      </x:c>
      <x:c r="T88" s="65" t="n">
        <x:v>50.5</x:v>
      </x:c>
      <x:c r="U88" s="84" t="n">
        <x:f>IF(V88&lt;&gt;"Available","",(L88*'Sources &amp; Model'!$B$13+M88*'Sources &amp; Model'!$B$14+N88*'Sources &amp; Model'!$B$15+O88*'Sources &amp; Model'!$B$16+P88*'Sources &amp; Model'!$B$17+Q88*'Sources &amp; Model'!$B$18+R88*'Sources &amp; Model'!$B$19+S88*'Sources &amp; Model'!$B$20+T88*'Sources &amp; Model'!$B$21)/SUM('Sources &amp; Model'!$B$13:$B$21))</x:f>
        <x:v>41.957972879909214</x:v>
      </x:c>
      <x:c r="V88" s="5" t="str">
        <x:v>Available</x:v>
      </x:c>
      <x:c r="W88" t="str">
        <x:v>https://help.fantasyfootballcalculator.com/article/42-adp-rest-api</x:v>
      </x:c>
    </x:row>
    <x:row r="89">
      <x:c r="A89" s="28" t="n">
        <x:v>85</x:v>
      </x:c>
      <x:c r="B89" s="28" t="str">
        <x:v>Michael Wilson</x:v>
      </x:c>
      <x:c r="C89" s="28" t="str">
        <x:v>WR</x:v>
      </x:c>
      <x:c r="D89" s="28" t="str">
        <x:v>ARI</x:v>
      </x:c>
      <x:c r="E89" s="81" t="n">
        <x:v>14</x:v>
      </x:c>
      <x:c r="F89" s="82" t="n">
        <x:v>82.7</x:v>
      </x:c>
      <x:c r="G89" s="82" t="n">
        <x:v>58</x:v>
      </x:c>
      <x:c r="H89" s="82" t="n">
        <x:v>112</x:v>
      </x:c>
      <x:c r="I89" s="82" t="n">
        <x:v>9.5</x:v>
      </x:c>
      <x:c r="J89" s="81" t="n">
        <x:v>922</x:v>
      </x:c>
      <x:c r="K89" s="81" t="n">
        <x:v>5</x:v>
      </x:c>
      <x:c r="L89" s="83" t="n">
        <x:f>MAX(0,MIN(100,100-((F89-1)/(MAX($F$5:$F$265)-1))*100))</x:f>
        <x:v>56.84099313259377</x:v>
      </x:c>
      <x:c r="M89" s="83" t="n">
        <x:f>MAX(0,MIN(100,50+(('Sources &amp; Model'!$B$4-F89)/('Sources &amp; Model'!$B$6*2.5))*45))</x:f>
        <x:v>0</x:v>
      </x:c>
      <x:c r="N89" s="83" t="n">
        <x:f>IF(V89="Mine",0,IF(OR(C89="RB",C89="WR"),MAX(30,62-COUNTIFS($C$5:$C$265,C89,$V$5:$V$265,"Mine")*5),IF(OR(C89="D/ST",C89="K"),IF('Sources &amp; Model'!$B$4&gt;='Sources &amp; Model'!$B$6*('Sources &amp; Model'!$B$8-2),62,12),IF(COUNTIFS($C$5:$C$265,C89,$V$5:$V$265,"Mine")=0,82,38))))</x:f>
        <x:v>62</x:v>
      </x:c>
      <x:c r="O89" s="65" t="n">
        <x:v>59</x:v>
      </x:c>
      <x:c r="P89" s="83" t="n">
        <x:f>MAX(0,MIN(100,100/(1+EXP(-(('Sources &amp; Model'!$B$5-F89)/MAX(2.5,I89))))))</x:f>
        <x:v>0.018407190496342398</x:v>
      </x:c>
      <x:c r="Q89" s="65" t="n">
        <x:v>68</x:v>
      </x:c>
      <x:c r="R89" s="65" t="n">
        <x:v>92</x:v>
      </x:c>
      <x:c r="S89" s="65" t="n">
        <x:v>51.8</x:v>
      </x:c>
      <x:c r="T89" s="65" t="n">
        <x:v>49.8</x:v>
      </x:c>
      <x:c r="U89" s="84" t="n">
        <x:f>IF(V89&lt;&gt;"Available","",(L89*'Sources &amp; Model'!$B$13+M89*'Sources &amp; Model'!$B$14+N89*'Sources &amp; Model'!$B$15+O89*'Sources &amp; Model'!$B$16+P89*'Sources &amp; Model'!$B$17+Q89*'Sources &amp; Model'!$B$18+R89*'Sources &amp; Model'!$B$19+S89*'Sources &amp; Model'!$B$20+T89*'Sources &amp; Model'!$B$21)/SUM('Sources &amp; Model'!$B$13:$B$21))</x:f>
        <x:v>45.00177838413152</x:v>
      </x:c>
      <x:c r="V89" s="5" t="str">
        <x:v>Available</x:v>
      </x:c>
      <x:c r="W89" t="str">
        <x:v>https://help.fantasyfootballcalculator.com/article/42-adp-rest-api</x:v>
      </x:c>
    </x:row>
    <x:row r="90">
      <x:c r="A90" s="28" t="n">
        <x:v>86</x:v>
      </x:c>
      <x:c r="B90" s="28" t="str">
        <x:v>RJ Harvey</x:v>
      </x:c>
      <x:c r="C90" s="28" t="str">
        <x:v>RB</x:v>
      </x:c>
      <x:c r="D90" s="28" t="str">
        <x:v>DEN</x:v>
      </x:c>
      <x:c r="E90" s="81" t="n">
        <x:v>10</x:v>
      </x:c>
      <x:c r="F90" s="82" t="n">
        <x:v>83.6</x:v>
      </x:c>
      <x:c r="G90" s="82" t="n">
        <x:v>59</x:v>
      </x:c>
      <x:c r="H90" s="82" t="n">
        <x:v>115</x:v>
      </x:c>
      <x:c r="I90" s="82" t="n">
        <x:v>9.2</x:v>
      </x:c>
      <x:c r="J90" s="81" t="n">
        <x:v>495</x:v>
      </x:c>
      <x:c r="K90" s="81" t="n">
        <x:v>4</x:v>
      </x:c>
      <x:c r="L90" s="83" t="n">
        <x:f>MAX(0,MIN(100,100-((F90-1)/(MAX($F$5:$F$265)-1))*100))</x:f>
        <x:v>56.365557316428955</x:v>
      </x:c>
      <x:c r="M90" s="83" t="n">
        <x:f>MAX(0,MIN(100,50+(('Sources &amp; Model'!$B$4-F90)/('Sources &amp; Model'!$B$6*2.5))*45))</x:f>
        <x:v>0</x:v>
      </x:c>
      <x:c r="N90" s="83" t="n">
        <x:f>IF(V90="Mine",0,IF(OR(C90="RB",C90="WR"),MAX(30,62-COUNTIFS($C$5:$C$265,C90,$V$5:$V$265,"Mine")*5),IF(OR(C90="D/ST",C90="K"),IF('Sources &amp; Model'!$B$4&gt;='Sources &amp; Model'!$B$6*('Sources &amp; Model'!$B$8-2),62,12),IF(COUNTIFS($C$5:$C$265,C90,$V$5:$V$265,"Mine")=0,82,38))))</x:f>
        <x:v>62</x:v>
      </x:c>
      <x:c r="O90" s="65" t="n">
        <x:v>69.5</x:v>
      </x:c>
      <x:c r="P90" s="83" t="n">
        <x:f>MAX(0,MIN(100,100/(1+EXP(-(('Sources &amp; Model'!$B$5-F90)/MAX(2.5,I90))))))</x:f>
        <x:v>0.012610609473447769</x:v>
      </x:c>
      <x:c r="Q90" s="65" t="n">
        <x:v>68</x:v>
      </x:c>
      <x:c r="R90" s="65" t="n">
        <x:v>92</x:v>
      </x:c>
      <x:c r="S90" s="65" t="n">
        <x:v>36.9</x:v>
      </x:c>
      <x:c r="T90" s="65" t="n">
        <x:v>50</x:v>
      </x:c>
      <x:c r="U90" s="84" t="n">
        <x:f>IF(V90&lt;&gt;"Available","",(L90*'Sources &amp; Model'!$B$13+M90*'Sources &amp; Model'!$B$14+N90*'Sources &amp; Model'!$B$15+O90*'Sources &amp; Model'!$B$16+P90*'Sources &amp; Model'!$B$17+Q90*'Sources &amp; Model'!$B$18+R90*'Sources &amp; Model'!$B$19+S90*'Sources &amp; Model'!$B$20+T90*'Sources &amp; Model'!$B$21)/SUM('Sources &amp; Model'!$B$13:$B$21))</x:f>
        <x:v>45.803550548533195</x:v>
      </x:c>
      <x:c r="V90" s="5" t="str">
        <x:v>Available</x:v>
      </x:c>
      <x:c r="W90" t="str">
        <x:v>https://help.fantasyfootballcalculator.com/article/42-adp-rest-api</x:v>
      </x:c>
    </x:row>
    <x:row r="91">
      <x:c r="A91" s="28" t="n">
        <x:v>87</x:v>
      </x:c>
      <x:c r="B91" s="28" t="str">
        <x:v>Brock Purdy</x:v>
      </x:c>
      <x:c r="C91" s="28" t="str">
        <x:v>QB</x:v>
      </x:c>
      <x:c r="D91" s="28" t="str">
        <x:v>SF</x:v>
      </x:c>
      <x:c r="E91" s="81" t="n">
        <x:v>8</x:v>
      </x:c>
      <x:c r="F91" s="82" t="n">
        <x:v>85.5</x:v>
      </x:c>
      <x:c r="G91" s="82" t="n">
        <x:v>56</x:v>
      </x:c>
      <x:c r="H91" s="82" t="n">
        <x:v>115</x:v>
      </x:c>
      <x:c r="I91" s="82" t="n">
        <x:v>13.6</x:v>
      </x:c>
      <x:c r="J91" s="81" t="n">
        <x:v>168</x:v>
      </x:c>
      <x:c r="K91" s="81" t="n">
        <x:v>3</x:v>
      </x:c>
      <x:c r="L91" s="83" t="n">
        <x:f>MAX(0,MIN(100,100-((F91-1)/(MAX($F$5:$F$265)-1))*100))</x:f>
        <x:v>55.361859482303224</x:v>
      </x:c>
      <x:c r="M91" s="83" t="n">
        <x:f>MAX(0,MIN(100,50+(('Sources &amp; Model'!$B$4-F91)/('Sources &amp; Model'!$B$6*2.5))*45))</x:f>
        <x:v>0</x:v>
      </x:c>
      <x:c r="N91" s="83" t="n">
        <x:f>IF(V91="Mine",0,IF(OR(C91="RB",C91="WR"),MAX(30,62-COUNTIFS($C$5:$C$265,C91,$V$5:$V$265,"Mine")*5),IF(OR(C91="D/ST",C91="K"),IF('Sources &amp; Model'!$B$4&gt;='Sources &amp; Model'!$B$6*('Sources &amp; Model'!$B$8-2),62,12),IF(COUNTIFS($C$5:$C$265,C91,$V$5:$V$265,"Mine")=0,82,38))))</x:f>
        <x:v>82</x:v>
      </x:c>
      <x:c r="O91" s="65" t="n">
        <x:v>73.9</x:v>
      </x:c>
      <x:c r="P91" s="83" t="n">
        <x:f>MAX(0,MIN(100,100/(1+EXP(-(('Sources &amp; Model'!$B$5-F91)/MAX(2.5,I91))))))</x:f>
        <x:v>0.1998744513497754</x:v>
      </x:c>
      <x:c r="Q91" s="65" t="n">
        <x:v>90</x:v>
      </x:c>
      <x:c r="R91" s="65" t="n">
        <x:v>92</x:v>
      </x:c>
      <x:c r="S91" s="65" t="n">
        <x:v>39.3</x:v>
      </x:c>
      <x:c r="T91" s="65" t="n">
        <x:v>50</x:v>
      </x:c>
      <x:c r="U91" s="84" t="n">
        <x:f>IF(V91&lt;&gt;"Available","",(L91*'Sources &amp; Model'!$B$13+M91*'Sources &amp; Model'!$B$14+N91*'Sources &amp; Model'!$B$15+O91*'Sources &amp; Model'!$B$16+P91*'Sources &amp; Model'!$B$17+Q91*'Sources &amp; Model'!$B$18+R91*'Sources &amp; Model'!$B$19+S91*'Sources &amp; Model'!$B$20+T91*'Sources &amp; Model'!$B$21)/SUM('Sources &amp; Model'!$B$13:$B$21))</x:f>
        <x:v>50.377019669118084</x:v>
      </x:c>
      <x:c r="V91" s="5" t="str">
        <x:v>Available</x:v>
      </x:c>
      <x:c r="W91" t="str">
        <x:v>https://help.fantasyfootballcalculator.com/article/42-adp-rest-api</x:v>
      </x:c>
    </x:row>
    <x:row r="92">
      <x:c r="A92" s="28" t="n">
        <x:v>88</x:v>
      </x:c>
      <x:c r="B92" s="28" t="str">
        <x:v>Chris Godwin</x:v>
      </x:c>
      <x:c r="C92" s="28" t="str">
        <x:v>WR</x:v>
      </x:c>
      <x:c r="D92" s="28" t="str">
        <x:v>TB</x:v>
      </x:c>
      <x:c r="E92" s="81" t="n">
        <x:v>10</x:v>
      </x:c>
      <x:c r="F92" s="82" t="n">
        <x:v>85.8</x:v>
      </x:c>
      <x:c r="G92" s="82" t="n">
        <x:v>58</x:v>
      </x:c>
      <x:c r="H92" s="82" t="n">
        <x:v>114</x:v>
      </x:c>
      <x:c r="I92" s="82" t="n">
        <x:v>10.6</x:v>
      </x:c>
      <x:c r="J92" s="81" t="n">
        <x:v>868</x:v>
      </x:c>
      <x:c r="K92" s="81" t="n">
        <x:v>6</x:v>
      </x:c>
      <x:c r="L92" s="83" t="n">
        <x:f>MAX(0,MIN(100,100-((F92-1)/(MAX($F$5:$F$265)-1))*100))</x:f>
        <x:v>55.203380876914956</x:v>
      </x:c>
      <x:c r="M92" s="83" t="n">
        <x:f>MAX(0,MIN(100,50+(('Sources &amp; Model'!$B$4-F92)/('Sources &amp; Model'!$B$6*2.5))*45))</x:f>
        <x:v>0</x:v>
      </x:c>
      <x:c r="N92" s="83" t="n">
        <x:f>IF(V92="Mine",0,IF(OR(C92="RB",C92="WR"),MAX(30,62-COUNTIFS($C$5:$C$265,C92,$V$5:$V$265,"Mine")*5),IF(OR(C92="D/ST",C92="K"),IF('Sources &amp; Model'!$B$4&gt;='Sources &amp; Model'!$B$6*('Sources &amp; Model'!$B$8-2),62,12),IF(COUNTIFS($C$5:$C$265,C92,$V$5:$V$265,"Mine")=0,82,38))))</x:f>
        <x:v>62</x:v>
      </x:c>
      <x:c r="O92" s="65" t="n">
        <x:v>42</x:v>
      </x:c>
      <x:c r="P92" s="83" t="n">
        <x:f>MAX(0,MIN(100,100/(1+EXP(-(('Sources &amp; Model'!$B$5-F92)/MAX(2.5,I92))))))</x:f>
        <x:v>0.03353501304664781</x:v>
      </x:c>
      <x:c r="Q92" s="65" t="n">
        <x:v>68</x:v>
      </x:c>
      <x:c r="R92" s="65" t="n">
        <x:v>92</x:v>
      </x:c>
      <x:c r="S92" s="65" t="n">
        <x:v>43.9</x:v>
      </x:c>
      <x:c r="T92" s="65" t="n">
        <x:v>49.8</x:v>
      </x:c>
      <x:c r="U92" s="84" t="n">
        <x:f>IF(V92&lt;&gt;"Available","",(L92*'Sources &amp; Model'!$B$13+M92*'Sources &amp; Model'!$B$14+N92*'Sources &amp; Model'!$B$15+O92*'Sources &amp; Model'!$B$16+P92*'Sources &amp; Model'!$B$17+Q92*'Sources &amp; Model'!$B$18+R92*'Sources &amp; Model'!$B$19+S92*'Sources &amp; Model'!$B$20+T92*'Sources &amp; Model'!$B$21)/SUM('Sources &amp; Model'!$B$13:$B$21))</x:f>
        <x:v>42.24850299945575</x:v>
      </x:c>
      <x:c r="V92" s="5" t="str">
        <x:v>Available</x:v>
      </x:c>
      <x:c r="W92" t="str">
        <x:v>https://help.fantasyfootballcalculator.com/article/42-adp-rest-api</x:v>
      </x:c>
    </x:row>
    <x:row r="93">
      <x:c r="A93" s="28" t="n">
        <x:v>89</x:v>
      </x:c>
      <x:c r="B93" s="28" t="str">
        <x:v>Josh Downs</x:v>
      </x:c>
      <x:c r="C93" s="28" t="str">
        <x:v>WR</x:v>
      </x:c>
      <x:c r="D93" s="28" t="str">
        <x:v>IND</x:v>
      </x:c>
      <x:c r="E93" s="81" t="n">
        <x:v>13</x:v>
      </x:c>
      <x:c r="F93" s="82" t="n">
        <x:v>85.8</x:v>
      </x:c>
      <x:c r="G93" s="82" t="n">
        <x:v>61</x:v>
      </x:c>
      <x:c r="H93" s="82" t="n">
        <x:v>112</x:v>
      </x:c>
      <x:c r="I93" s="82" t="n">
        <x:v>9.5</x:v>
      </x:c>
      <x:c r="J93" s="81" t="n">
        <x:v>805</x:v>
      </x:c>
      <x:c r="K93" s="81" t="n">
        <x:v>6</x:v>
      </x:c>
      <x:c r="L93" s="83" t="n">
        <x:f>MAX(0,MIN(100,100-((F93-1)/(MAX($F$5:$F$265)-1))*100))</x:f>
        <x:v>55.203380876914956</x:v>
      </x:c>
      <x:c r="M93" s="83" t="n">
        <x:f>MAX(0,MIN(100,50+(('Sources &amp; Model'!$B$4-F93)/('Sources &amp; Model'!$B$6*2.5))*45))</x:f>
        <x:v>0</x:v>
      </x:c>
      <x:c r="N93" s="83" t="n">
        <x:f>IF(V93="Mine",0,IF(OR(C93="RB",C93="WR"),MAX(30,62-COUNTIFS($C$5:$C$265,C93,$V$5:$V$265,"Mine")*5),IF(OR(C93="D/ST",C93="K"),IF('Sources &amp; Model'!$B$4&gt;='Sources &amp; Model'!$B$6*('Sources &amp; Model'!$B$8-2),62,12),IF(COUNTIFS($C$5:$C$265,C93,$V$5:$V$265,"Mine")=0,82,38))))</x:f>
        <x:v>62</x:v>
      </x:c>
      <x:c r="O93" s="65" t="n">
        <x:v>78.3</x:v>
      </x:c>
      <x:c r="P93" s="83" t="n">
        <x:f>MAX(0,MIN(100,100/(1+EXP(-(('Sources &amp; Model'!$B$5-F93)/MAX(2.5,I93))))))</x:f>
        <x:v>0.01328289128720267</x:v>
      </x:c>
      <x:c r="Q93" s="65" t="n">
        <x:v>68</x:v>
      </x:c>
      <x:c r="R93" s="65" t="n">
        <x:v>92</x:v>
      </x:c>
      <x:c r="S93" s="65" t="n">
        <x:v>44.6</x:v>
      </x:c>
      <x:c r="T93" s="65" t="n">
        <x:v>50.2</x:v>
      </x:c>
      <x:c r="U93" s="84" t="n">
        <x:f>IF(V93&lt;&gt;"Available","",(L93*'Sources &amp; Model'!$B$13+M93*'Sources &amp; Model'!$B$14+N93*'Sources &amp; Model'!$B$15+O93*'Sources &amp; Model'!$B$16+P93*'Sources &amp; Model'!$B$17+Q93*'Sources &amp; Model'!$B$18+R93*'Sources &amp; Model'!$B$19+S93*'Sources &amp; Model'!$B$20+T93*'Sources &amp; Model'!$B$21)/SUM('Sources &amp; Model'!$B$13:$B$21))</x:f>
        <x:v>46.620477787279796</x:v>
      </x:c>
      <x:c r="V93" s="5" t="str">
        <x:v>Available</x:v>
      </x:c>
      <x:c r="W93" t="str">
        <x:v>https://help.fantasyfootballcalculator.com/article/42-adp-rest-api</x:v>
      </x:c>
    </x:row>
    <x:row r="94">
      <x:c r="A94" s="28" t="n">
        <x:v>90</x:v>
      </x:c>
      <x:c r="B94" s="28" t="str">
        <x:v>Sam LaPorta</x:v>
      </x:c>
      <x:c r="C94" s="28" t="str">
        <x:v>TE</x:v>
      </x:c>
      <x:c r="D94" s="28" t="str">
        <x:v>DET</x:v>
      </x:c>
      <x:c r="E94" s="81" t="n">
        <x:v>6</x:v>
      </x:c>
      <x:c r="F94" s="82" t="n">
        <x:v>87.4</x:v>
      </x:c>
      <x:c r="G94" s="82" t="n">
        <x:v>55</x:v>
      </x:c>
      <x:c r="H94" s="82" t="n">
        <x:v>143</x:v>
      </x:c>
      <x:c r="I94" s="82" t="n">
        <x:v>12.2</x:v>
      </x:c>
      <x:c r="J94" s="81" t="n">
        <x:v>495</x:v>
      </x:c>
      <x:c r="K94" s="81" t="n">
        <x:v>3</x:v>
      </x:c>
      <x:c r="L94" s="83" t="n">
        <x:f>MAX(0,MIN(100,100-((F94-1)/(MAX($F$5:$F$265)-1))*100))</x:f>
        <x:v>54.35816164817749</x:v>
      </x:c>
      <x:c r="M94" s="83" t="n">
        <x:f>MAX(0,MIN(100,50+(('Sources &amp; Model'!$B$4-F94)/('Sources &amp; Model'!$B$6*2.5))*45))</x:f>
        <x:v>0</x:v>
      </x:c>
      <x:c r="N94" s="83" t="n">
        <x:f>IF(V94="Mine",0,IF(OR(C94="RB",C94="WR"),MAX(30,62-COUNTIFS($C$5:$C$265,C94,$V$5:$V$265,"Mine")*5),IF(OR(C94="D/ST",C94="K"),IF('Sources &amp; Model'!$B$4&gt;='Sources &amp; Model'!$B$6*('Sources &amp; Model'!$B$8-2),62,12),IF(COUNTIFS($C$5:$C$265,C94,$V$5:$V$265,"Mine")=0,82,38))))</x:f>
        <x:v>82</x:v>
      </x:c>
      <x:c r="O94" s="65" t="n">
        <x:v>100</x:v>
      </x:c>
      <x:c r="P94" s="83" t="n">
        <x:f>MAX(0,MIN(100,100/(1+EXP(-(('Sources &amp; Model'!$B$5-F94)/MAX(2.5,I94))))))</x:f>
        <x:v>0.08394136217454792</x:v>
      </x:c>
      <x:c r="Q94" s="65" t="n">
        <x:v>90</x:v>
      </x:c>
      <x:c r="R94" s="65" t="n">
        <x:v>92</x:v>
      </x:c>
      <x:c r="S94" s="65" t="n">
        <x:v>45.2</x:v>
      </x:c>
      <x:c r="T94" s="65" t="n">
        <x:v>50.1</x:v>
      </x:c>
      <x:c r="U94" s="84" t="n">
        <x:f>IF(V94&lt;&gt;"Available","",(L94*'Sources &amp; Model'!$B$13+M94*'Sources &amp; Model'!$B$14+N94*'Sources &amp; Model'!$B$15+O94*'Sources &amp; Model'!$B$16+P94*'Sources &amp; Model'!$B$17+Q94*'Sources &amp; Model'!$B$18+R94*'Sources &amp; Model'!$B$19+S94*'Sources &amp; Model'!$B$20+T94*'Sources &amp; Model'!$B$21)/SUM('Sources &amp; Model'!$B$13:$B$21))</x:f>
        <x:v>53.27516909659781</x:v>
      </x:c>
      <x:c r="V94" s="5" t="str">
        <x:v>Available</x:v>
      </x:c>
      <x:c r="W94" t="str">
        <x:v>https://help.fantasyfootballcalculator.com/article/42-adp-rest-api</x:v>
      </x:c>
    </x:row>
    <x:row r="95">
      <x:c r="A95" s="28" t="n">
        <x:v>91</x:v>
      </x:c>
      <x:c r="B95" s="28" t="str">
        <x:v>Kenny Gainwell</x:v>
      </x:c>
      <x:c r="C95" s="28" t="str">
        <x:v>RB</x:v>
      </x:c>
      <x:c r="D95" s="28" t="str">
        <x:v>TB</x:v>
      </x:c>
      <x:c r="E95" s="81" t="n">
        <x:v>10</x:v>
      </x:c>
      <x:c r="F95" s="82" t="n">
        <x:v>88.6</x:v>
      </x:c>
      <x:c r="G95" s="82" t="n">
        <x:v>61</x:v>
      </x:c>
      <x:c r="H95" s="82" t="n">
        <x:v>120</x:v>
      </x:c>
      <x:c r="I95" s="82" t="n">
        <x:v>10.4</x:v>
      </x:c>
      <x:c r="J95" s="81" t="n">
        <x:v>475</x:v>
      </x:c>
      <x:c r="K95" s="81" t="n">
        <x:v>5</x:v>
      </x:c>
      <x:c r="L95" s="83" t="n">
        <x:f>MAX(0,MIN(100,100-((F95-1)/(MAX($F$5:$F$265)-1))*100))</x:f>
        <x:v>53.72424722662441</x:v>
      </x:c>
      <x:c r="M95" s="83" t="n">
        <x:f>MAX(0,MIN(100,50+(('Sources &amp; Model'!$B$4-F95)/('Sources &amp; Model'!$B$6*2.5))*45))</x:f>
        <x:v>0</x:v>
      </x:c>
      <x:c r="N95" s="83" t="n">
        <x:f>IF(V95="Mine",0,IF(OR(C95="RB",C95="WR"),MAX(30,62-COUNTIFS($C$5:$C$265,C95,$V$5:$V$265,"Mine")*5),IF(OR(C95="D/ST",C95="K"),IF('Sources &amp; Model'!$B$4&gt;='Sources &amp; Model'!$B$6*('Sources &amp; Model'!$B$8-2),62,12),IF(COUNTIFS($C$5:$C$265,C95,$V$5:$V$265,"Mine")=0,82,38))))</x:f>
        <x:v>62</x:v>
      </x:c>
      <x:c r="O95" s="65" t="n">
        <x:v>86</x:v>
      </x:c>
      <x:c r="P95" s="83" t="n">
        <x:f>MAX(0,MIN(100,100/(1+EXP(-(('Sources &amp; Model'!$B$5-F95)/MAX(2.5,I95))))))</x:f>
        <x:v>0.021968922225237816</x:v>
      </x:c>
      <x:c r="Q95" s="65" t="n">
        <x:v>68</x:v>
      </x:c>
      <x:c r="R95" s="65" t="n">
        <x:v>92</x:v>
      </x:c>
      <x:c r="S95" s="65" t="n">
        <x:v>43.9</x:v>
      </x:c>
      <x:c r="T95" s="65" t="n">
        <x:v>50.4</x:v>
      </x:c>
      <x:c r="U95" s="84" t="n">
        <x:f>IF(V95&lt;&gt;"Available","",(L95*'Sources &amp; Model'!$B$13+M95*'Sources &amp; Model'!$B$14+N95*'Sources &amp; Model'!$B$15+O95*'Sources &amp; Model'!$B$16+P95*'Sources &amp; Model'!$B$17+Q95*'Sources &amp; Model'!$B$18+R95*'Sources &amp; Model'!$B$19+S95*'Sources &amp; Model'!$B$20+T95*'Sources &amp; Model'!$B$21)/SUM('Sources &amp; Model'!$B$13:$B$21))</x:f>
        <x:v>47.030440949274826</x:v>
      </x:c>
      <x:c r="V95" s="5" t="str">
        <x:v>Available</x:v>
      </x:c>
      <x:c r="W95" t="str">
        <x:v>https://help.fantasyfootballcalculator.com/article/42-adp-rest-api</x:v>
      </x:c>
    </x:row>
    <x:row r="96">
      <x:c r="A96" s="28" t="n">
        <x:v>92</x:v>
      </x:c>
      <x:c r="B96" s="28" t="str">
        <x:v>DEN Defense</x:v>
      </x:c>
      <x:c r="C96" s="28" t="str">
        <x:v>D/ST</x:v>
      </x:c>
      <x:c r="D96" s="28" t="str">
        <x:v>DEN</x:v>
      </x:c>
      <x:c r="E96" s="81" t="n">
        <x:v>10</x:v>
      </x:c>
      <x:c r="F96" s="82" t="n">
        <x:v>90.6</x:v>
      </x:c>
      <x:c r="G96" s="82" t="n">
        <x:v>66</x:v>
      </x:c>
      <x:c r="H96" s="82" t="n">
        <x:v>110</x:v>
      </x:c>
      <x:c r="I96" s="82" t="n">
        <x:v>9.3</x:v>
      </x:c>
      <x:c r="J96" s="81" t="n">
        <x:v>288</x:v>
      </x:c>
      <x:c r="K96" s="81" t="n">
        <x:v>1</x:v>
      </x:c>
      <x:c r="L96" s="83" t="n">
        <x:f>MAX(0,MIN(100,100-((F96-1)/(MAX($F$5:$F$265)-1))*100))</x:f>
        <x:v>52.667723190702596</x:v>
      </x:c>
      <x:c r="M96" s="83" t="n">
        <x:f>MAX(0,MIN(100,50+(('Sources &amp; Model'!$B$4-F96)/('Sources &amp; Model'!$B$6*2.5))*45))</x:f>
        <x:v>0</x:v>
      </x:c>
      <x:c r="N96" s="83" t="n">
        <x:f>IF(V96="Mine",0,IF(OR(C96="RB",C96="WR"),MAX(30,62-COUNTIFS($C$5:$C$265,C96,$V$5:$V$265,"Mine")*5),IF(OR(C96="D/ST",C96="K"),IF('Sources &amp; Model'!$B$4&gt;='Sources &amp; Model'!$B$6*('Sources &amp; Model'!$B$8-2),62,12),IF(COUNTIFS($C$5:$C$265,C96,$V$5:$V$265,"Mine")=0,82,38))))</x:f>
        <x:v>12</x:v>
      </x:c>
      <x:c r="O96" s="65" t="n">
        <x:v>63.5</x:v>
      </x:c>
      <x:c r="P96" s="83" t="n">
        <x:f>MAX(0,MIN(100,100/(1+EXP(-(('Sources &amp; Model'!$B$5-F96)/MAX(2.5,I96))))))</x:f>
        <x:v>0.006543364135605725</x:v>
      </x:c>
      <x:c r="Q96" s="65" t="n">
        <x:v>68</x:v>
      </x:c>
      <x:c r="R96" s="65" t="n">
        <x:v>92</x:v>
      </x:c>
      <x:c r="S96" s="65" t="n">
        <x:v>36.9</x:v>
      </x:c>
      <x:c r="T96" s="65" t="n">
        <x:v>50</x:v>
      </x:c>
      <x:c r="U96" s="84" t="n">
        <x:f>IF(V96&lt;&gt;"Available","",(L96*'Sources &amp; Model'!$B$13+M96*'Sources &amp; Model'!$B$14+N96*'Sources &amp; Model'!$B$15+O96*'Sources &amp; Model'!$B$16+P96*'Sources &amp; Model'!$B$17+Q96*'Sources &amp; Model'!$B$18+R96*'Sources &amp; Model'!$B$19+S96*'Sources &amp; Model'!$B$20+T96*'Sources &amp; Model'!$B$21)/SUM('Sources &amp; Model'!$B$13:$B$21))</x:f>
        <x:v>36.32568022125245</x:v>
      </x:c>
      <x:c r="V96" s="5" t="str">
        <x:v>Available</x:v>
      </x:c>
      <x:c r="W96" t="str">
        <x:v>https://help.fantasyfootballcalculator.com/article/42-adp-rest-api</x:v>
      </x:c>
    </x:row>
    <x:row r="97">
      <x:c r="A97" s="28" t="n">
        <x:v>93</x:v>
      </x:c>
      <x:c r="B97" s="28" t="str">
        <x:v>Trevor Lawrence</x:v>
      </x:c>
      <x:c r="C97" s="28" t="str">
        <x:v>QB</x:v>
      </x:c>
      <x:c r="D97" s="28" t="str">
        <x:v>JAX</x:v>
      </x:c>
      <x:c r="E97" s="81" t="n">
        <x:v>7</x:v>
      </x:c>
      <x:c r="F97" s="82" t="n">
        <x:v>91.3</x:v>
      </x:c>
      <x:c r="G97" s="82" t="n">
        <x:v>58</x:v>
      </x:c>
      <x:c r="H97" s="82" t="n">
        <x:v>127</x:v>
      </x:c>
      <x:c r="I97" s="82" t="n">
        <x:v>12.6</x:v>
      </x:c>
      <x:c r="J97" s="81" t="n">
        <x:v>813</x:v>
      </x:c>
      <x:c r="K97" s="81" t="n">
        <x:v>3</x:v>
      </x:c>
      <x:c r="L97" s="83" t="n">
        <x:f>MAX(0,MIN(100,100-((F97-1)/(MAX($F$5:$F$265)-1))*100))</x:f>
        <x:v>52.29793977812996</x:v>
      </x:c>
      <x:c r="M97" s="83" t="n">
        <x:f>MAX(0,MIN(100,50+(('Sources &amp; Model'!$B$4-F97)/('Sources &amp; Model'!$B$6*2.5))*45))</x:f>
        <x:v>0</x:v>
      </x:c>
      <x:c r="N97" s="83" t="n">
        <x:f>IF(V97="Mine",0,IF(OR(C97="RB",C97="WR"),MAX(30,62-COUNTIFS($C$5:$C$265,C97,$V$5:$V$265,"Mine")*5),IF(OR(C97="D/ST",C97="K"),IF('Sources &amp; Model'!$B$4&gt;='Sources &amp; Model'!$B$6*('Sources &amp; Model'!$B$8-2),62,12),IF(COUNTIFS($C$5:$C$265,C97,$V$5:$V$265,"Mine")=0,82,38))))</x:f>
        <x:v>82</x:v>
      </x:c>
      <x:c r="O97" s="65" t="n">
        <x:v>81.6</x:v>
      </x:c>
      <x:c r="P97" s="83" t="n">
        <x:f>MAX(0,MIN(100,100/(1+EXP(-(('Sources &amp; Model'!$B$5-F97)/MAX(2.5,I97))))))</x:f>
        <x:v>0.07712960622871656</x:v>
      </x:c>
      <x:c r="Q97" s="65" t="n">
        <x:v>90</x:v>
      </x:c>
      <x:c r="R97" s="65" t="n">
        <x:v>92</x:v>
      </x:c>
      <x:c r="S97" s="65" t="n">
        <x:v>38.4</x:v>
      </x:c>
      <x:c r="T97" s="65" t="n">
        <x:v>49.8</x:v>
      </x:c>
      <x:c r="U97" s="84" t="n">
        <x:f>IF(V97&lt;&gt;"Available","",(L97*'Sources &amp; Model'!$B$13+M97*'Sources &amp; Model'!$B$14+N97*'Sources &amp; Model'!$B$15+O97*'Sources &amp; Model'!$B$16+P97*'Sources &amp; Model'!$B$17+Q97*'Sources &amp; Model'!$B$18+R97*'Sources &amp; Model'!$B$19+S97*'Sources &amp; Model'!$B$20+T97*'Sources &amp; Model'!$B$21)/SUM('Sources &amp; Model'!$B$13:$B$21))</x:f>
        <x:v>50.22701248518706</x:v>
      </x:c>
      <x:c r="V97" s="5" t="str">
        <x:v>Available</x:v>
      </x:c>
      <x:c r="W97" t="str">
        <x:v>https://help.fantasyfootballcalculator.com/article/42-adp-rest-api</x:v>
      </x:c>
    </x:row>
    <x:row r="98">
      <x:c r="A98" s="28" t="n">
        <x:v>94</x:v>
      </x:c>
      <x:c r="B98" s="28" t="str">
        <x:v>Jordyn Tyson</x:v>
      </x:c>
      <x:c r="C98" s="28" t="str">
        <x:v>WR</x:v>
      </x:c>
      <x:c r="D98" s="28" t="str">
        <x:v>NO</x:v>
      </x:c>
      <x:c r="E98" s="81" t="n">
        <x:v>8</x:v>
      </x:c>
      <x:c r="F98" s="82" t="n">
        <x:v>92.4</x:v>
      </x:c>
      <x:c r="G98" s="82" t="n">
        <x:v>66</x:v>
      </x:c>
      <x:c r="H98" s="82" t="n">
        <x:v>118</x:v>
      </x:c>
      <x:c r="I98" s="82" t="n">
        <x:v>9.9</x:v>
      </x:c>
      <x:c r="J98" s="81" t="n">
        <x:v>686</x:v>
      </x:c>
      <x:c r="K98" s="81" t="n">
        <x:v>6</x:v>
      </x:c>
      <x:c r="L98" s="83" t="n">
        <x:f>MAX(0,MIN(100,100-((F98-1)/(MAX($F$5:$F$265)-1))*100))</x:f>
        <x:v>51.71685155837295</x:v>
      </x:c>
      <x:c r="M98" s="83" t="n">
        <x:f>MAX(0,MIN(100,50+(('Sources &amp; Model'!$B$4-F98)/('Sources &amp; Model'!$B$6*2.5))*45))</x:f>
        <x:v>0</x:v>
      </x:c>
      <x:c r="N98" s="83" t="n">
        <x:f>IF(V98="Mine",0,IF(OR(C98="RB",C98="WR"),MAX(30,62-COUNTIFS($C$5:$C$265,C98,$V$5:$V$265,"Mine")*5),IF(OR(C98="D/ST",C98="K"),IF('Sources &amp; Model'!$B$4&gt;='Sources &amp; Model'!$B$6*('Sources &amp; Model'!$B$8-2),62,12),IF(COUNTIFS($C$5:$C$265,C98,$V$5:$V$265,"Mine")=0,82,38))))</x:f>
        <x:v>62</x:v>
      </x:c>
      <x:c r="O98" s="65" t="n">
        <x:v>46.9</x:v>
      </x:c>
      <x:c r="P98" s="83" t="n">
        <x:f>MAX(0,MIN(100,100/(1+EXP(-(('Sources &amp; Model'!$B$5-F98)/MAX(2.5,I98))))))</x:f>
        <x:v>0.00978161312577729</x:v>
      </x:c>
      <x:c r="Q98" s="65" t="n">
        <x:v>68</x:v>
      </x:c>
      <x:c r="R98" s="65" t="n">
        <x:v>52</x:v>
      </x:c>
      <x:c r="S98" s="65" t="n">
        <x:v>47.2</x:v>
      </x:c>
      <x:c r="T98" s="65" t="n">
        <x:v>50</x:v>
      </x:c>
      <x:c r="U98" s="84" t="n">
        <x:f>IF(V98&lt;&gt;"Available","",(L98*'Sources &amp; Model'!$B$13+M98*'Sources &amp; Model'!$B$14+N98*'Sources &amp; Model'!$B$15+O98*'Sources &amp; Model'!$B$16+P98*'Sources &amp; Model'!$B$17+Q98*'Sources &amp; Model'!$B$18+R98*'Sources &amp; Model'!$B$19+S98*'Sources &amp; Model'!$B$20+T98*'Sources &amp; Model'!$B$21)/SUM('Sources &amp; Model'!$B$13:$B$21))</x:f>
        <x:v>40.116707691159384</x:v>
      </x:c>
      <x:c r="V98" s="5" t="str">
        <x:v>Available</x:v>
      </x:c>
      <x:c r="W98" t="str">
        <x:v>https://help.fantasyfootballcalculator.com/article/42-adp-rest-api</x:v>
      </x:c>
    </x:row>
    <x:row r="99">
      <x:c r="A99" s="28" t="n">
        <x:v>95</x:v>
      </x:c>
      <x:c r="B99" s="28" t="str">
        <x:v>Stefon Diggs</x:v>
      </x:c>
      <x:c r="C99" s="28" t="str">
        <x:v>WR</x:v>
      </x:c>
      <x:c r="D99" s="28" t="str">
        <x:v>WAS</x:v>
      </x:c>
      <x:c r="E99" s="81" t="n">
        <x:v>7</x:v>
      </x:c>
      <x:c r="F99" s="82" t="n">
        <x:v>93.3</x:v>
      </x:c>
      <x:c r="G99" s="82" t="n">
        <x:v>67</x:v>
      </x:c>
      <x:c r="H99" s="82" t="n">
        <x:v>119</x:v>
      </x:c>
      <x:c r="I99" s="82" t="n">
        <x:v>9.8</x:v>
      </x:c>
      <x:c r="J99" s="81" t="n">
        <x:v>820</x:v>
      </x:c>
      <x:c r="K99" s="81" t="n">
        <x:v>6</x:v>
      </x:c>
      <x:c r="L99" s="83" t="n">
        <x:f>MAX(0,MIN(100,100-((F99-1)/(MAX($F$5:$F$265)-1))*100))</x:f>
        <x:v>51.24141574220814</x:v>
      </x:c>
      <x:c r="M99" s="83" t="n">
        <x:f>MAX(0,MIN(100,50+(('Sources &amp; Model'!$B$4-F99)/('Sources &amp; Model'!$B$6*2.5))*45))</x:f>
        <x:v>0</x:v>
      </x:c>
      <x:c r="N99" s="83" t="n">
        <x:f>IF(V99="Mine",0,IF(OR(C99="RB",C99="WR"),MAX(30,62-COUNTIFS($C$5:$C$265,C99,$V$5:$V$265,"Mine")*5),IF(OR(C99="D/ST",C99="K"),IF('Sources &amp; Model'!$B$4&gt;='Sources &amp; Model'!$B$6*('Sources &amp; Model'!$B$8-2),62,12),IF(COUNTIFS($C$5:$C$265,C99,$V$5:$V$265,"Mine")=0,82,38))))</x:f>
        <x:v>62</x:v>
      </x:c>
      <x:c r="O99" s="65" t="n">
        <x:v>43.1</x:v>
      </x:c>
      <x:c r="P99" s="83" t="n">
        <x:f>MAX(0,MIN(100,100/(1+EXP(-(('Sources &amp; Model'!$B$5-F99)/MAX(2.5,I99))))))</x:f>
        <x:v>0.008121191686419315</x:v>
      </x:c>
      <x:c r="Q99" s="65" t="n">
        <x:v>68</x:v>
      </x:c>
      <x:c r="R99" s="65" t="n">
        <x:v>92</x:v>
      </x:c>
      <x:c r="S99" s="65" t="n">
        <x:v>41.1</x:v>
      </x:c>
      <x:c r="T99" s="65" t="n">
        <x:v>50.2</x:v>
      </x:c>
      <x:c r="U99" s="84" t="n">
        <x:f>IF(V99&lt;&gt;"Available","",(L99*'Sources &amp; Model'!$B$13+M99*'Sources &amp; Model'!$B$14+N99*'Sources &amp; Model'!$B$15+O99*'Sources &amp; Model'!$B$16+P99*'Sources &amp; Model'!$B$17+Q99*'Sources &amp; Model'!$B$18+R99*'Sources &amp; Model'!$B$19+S99*'Sources &amp; Model'!$B$20+T99*'Sources &amp; Model'!$B$21)/SUM('Sources &amp; Model'!$B$13:$B$21))</x:f>
        <x:v>40.978893471519406</x:v>
      </x:c>
      <x:c r="V99" s="5" t="str">
        <x:v>Available</x:v>
      </x:c>
      <x:c r="W99" t="str">
        <x:v>https://help.fantasyfootballcalculator.com/article/42-adp-rest-api</x:v>
      </x:c>
    </x:row>
    <x:row r="100">
      <x:c r="A100" s="28" t="n">
        <x:v>96</x:v>
      </x:c>
      <x:c r="B100" s="28" t="str">
        <x:v>Quentin Johnston</x:v>
      </x:c>
      <x:c r="C100" s="28" t="str">
        <x:v>WR</x:v>
      </x:c>
      <x:c r="D100" s="28" t="str">
        <x:v>LAC</x:v>
      </x:c>
      <x:c r="E100" s="81" t="n">
        <x:v>7</x:v>
      </x:c>
      <x:c r="F100" s="82" t="n">
        <x:v>93.5</x:v>
      </x:c>
      <x:c r="G100" s="82" t="n">
        <x:v>71</x:v>
      </x:c>
      <x:c r="H100" s="82" t="n">
        <x:v>120</x:v>
      </x:c>
      <x:c r="I100" s="82" t="n">
        <x:v>8.5</x:v>
      </x:c>
      <x:c r="J100" s="81" t="n">
        <x:v>638</x:v>
      </x:c>
      <x:c r="K100" s="81" t="n">
        <x:v>6</x:v>
      </x:c>
      <x:c r="L100" s="83" t="n">
        <x:f>MAX(0,MIN(100,100-((F100-1)/(MAX($F$5:$F$265)-1))*100))</x:f>
        <x:v>51.13576333861596</x:v>
      </x:c>
      <x:c r="M100" s="83" t="n">
        <x:f>MAX(0,MIN(100,50+(('Sources &amp; Model'!$B$4-F100)/('Sources &amp; Model'!$B$6*2.5))*45))</x:f>
        <x:v>0</x:v>
      </x:c>
      <x:c r="N100" s="83" t="n">
        <x:f>IF(V100="Mine",0,IF(OR(C100="RB",C100="WR"),MAX(30,62-COUNTIFS($C$5:$C$265,C100,$V$5:$V$265,"Mine")*5),IF(OR(C100="D/ST",C100="K"),IF('Sources &amp; Model'!$B$4&gt;='Sources &amp; Model'!$B$6*('Sources &amp; Model'!$B$8-2),62,12),IF(COUNTIFS($C$5:$C$265,C100,$V$5:$V$265,"Mine")=0,82,38))))</x:f>
        <x:v>62</x:v>
      </x:c>
      <x:c r="O100" s="65" t="n">
        <x:v>48</x:v>
      </x:c>
      <x:c r="P100" s="83" t="n">
        <x:f>MAX(0,MIN(100,100/(1+EXP(-(('Sources &amp; Model'!$B$5-F100)/MAX(2.5,I100))))))</x:f>
        <x:v>0.0018786505698373107</x:v>
      </x:c>
      <x:c r="Q100" s="65" t="n">
        <x:v>68</x:v>
      </x:c>
      <x:c r="R100" s="65" t="n">
        <x:v>92</x:v>
      </x:c>
      <x:c r="S100" s="65" t="n">
        <x:v>54.4</x:v>
      </x:c>
      <x:c r="T100" s="65" t="n">
        <x:v>49.8</x:v>
      </x:c>
      <x:c r="U100" s="84" t="n">
        <x:f>IF(V100&lt;&gt;"Available","",(L100*'Sources &amp; Model'!$B$13+M100*'Sources &amp; Model'!$B$14+N100*'Sources &amp; Model'!$B$15+O100*'Sources &amp; Model'!$B$16+P100*'Sources &amp; Model'!$B$17+Q100*'Sources &amp; Model'!$B$18+R100*'Sources &amp; Model'!$B$19+S100*'Sources &amp; Model'!$B$20+T100*'Sources &amp; Model'!$B$21)/SUM('Sources &amp; Model'!$B$13:$B$21))</x:f>
        <x:v>41.79234740018641</x:v>
      </x:c>
      <x:c r="V100" s="5" t="str">
        <x:v>Available</x:v>
      </x:c>
      <x:c r="W100" t="str">
        <x:v>https://help.fantasyfootballcalculator.com/article/42-adp-rest-api</x:v>
      </x:c>
    </x:row>
    <x:row r="101">
      <x:c r="A101" s="28" t="n">
        <x:v>97</x:v>
      </x:c>
      <x:c r="B101" s="28" t="str">
        <x:v>SEA Defense</x:v>
      </x:c>
      <x:c r="C101" s="28" t="str">
        <x:v>D/ST</x:v>
      </x:c>
      <x:c r="D101" s="28" t="str">
        <x:v>SEA</x:v>
      </x:c>
      <x:c r="E101" s="81" t="n">
        <x:v>11</x:v>
      </x:c>
      <x:c r="F101" s="82" t="n">
        <x:v>94.5</x:v>
      </x:c>
      <x:c r="G101" s="82" t="n">
        <x:v>64</x:v>
      </x:c>
      <x:c r="H101" s="82" t="n">
        <x:v>123</x:v>
      </x:c>
      <x:c r="I101" s="82" t="n">
        <x:v>12.8</x:v>
      </x:c>
      <x:c r="J101" s="81" t="n">
        <x:v>213</x:v>
      </x:c>
      <x:c r="K101" s="81" t="n">
        <x:v>1</x:v>
      </x:c>
      <x:c r="L101" s="83" t="n">
        <x:f>MAX(0,MIN(100,100-((F101-1)/(MAX($F$5:$F$265)-1))*100))</x:f>
        <x:v>50.60750132065505</x:v>
      </x:c>
      <x:c r="M101" s="83" t="n">
        <x:f>MAX(0,MIN(100,50+(('Sources &amp; Model'!$B$4-F101)/('Sources &amp; Model'!$B$6*2.5))*45))</x:f>
        <x:v>0</x:v>
      </x:c>
      <x:c r="N101" s="83" t="n">
        <x:f>IF(V101="Mine",0,IF(OR(C101="RB",C101="WR"),MAX(30,62-COUNTIFS($C$5:$C$265,C101,$V$5:$V$265,"Mine")*5),IF(OR(C101="D/ST",C101="K"),IF('Sources &amp; Model'!$B$4&gt;='Sources &amp; Model'!$B$6*('Sources &amp; Model'!$B$8-2),62,12),IF(COUNTIFS($C$5:$C$265,C101,$V$5:$V$265,"Mine")=0,82,38))))</x:f>
        <x:v>12</x:v>
      </x:c>
      <x:c r="O101" s="65" t="n">
        <x:v>84.9</x:v>
      </x:c>
      <x:c r="P101" s="83" t="n">
        <x:f>MAX(0,MIN(100,100/(1+EXP(-(('Sources &amp; Model'!$B$5-F101)/MAX(2.5,I101))))))</x:f>
        <x:v>0.06719278067448446</x:v>
      </x:c>
      <x:c r="Q101" s="65" t="n">
        <x:v>68</x:v>
      </x:c>
      <x:c r="R101" s="65" t="n">
        <x:v>92</x:v>
      </x:c>
      <x:c r="S101" s="65" t="n">
        <x:v>33.4</x:v>
      </x:c>
      <x:c r="T101" s="65" t="n">
        <x:v>50</x:v>
      </x:c>
      <x:c r="U101" s="84" t="n">
        <x:f>IF(V101&lt;&gt;"Available","",(L101*'Sources &amp; Model'!$B$13+M101*'Sources &amp; Model'!$B$14+N101*'Sources &amp; Model'!$B$15+O101*'Sources &amp; Model'!$B$16+P101*'Sources &amp; Model'!$B$17+Q101*'Sources &amp; Model'!$B$18+R101*'Sources &amp; Model'!$B$19+S101*'Sources &amp; Model'!$B$20+T101*'Sources &amp; Model'!$B$21)/SUM('Sources &amp; Model'!$B$13:$B$21))</x:f>
        <x:v>38.12926972709017</x:v>
      </x:c>
      <x:c r="V101" s="5" t="str">
        <x:v>Available</x:v>
      </x:c>
      <x:c r="W101" t="str">
        <x:v>https://help.fantasyfootballcalculator.com/article/42-adp-rest-api</x:v>
      </x:c>
    </x:row>
    <x:row r="102">
      <x:c r="A102" s="28" t="n">
        <x:v>98</x:v>
      </x:c>
      <x:c r="B102" s="28" t="str">
        <x:v>Jayden Reed</x:v>
      </x:c>
      <x:c r="C102" s="28" t="str">
        <x:v>WR</x:v>
      </x:c>
      <x:c r="D102" s="28" t="str">
        <x:v>GB</x:v>
      </x:c>
      <x:c r="E102" s="81" t="n">
        <x:v>11</x:v>
      </x:c>
      <x:c r="F102" s="82" t="n">
        <x:v>94.6</x:v>
      </x:c>
      <x:c r="G102" s="82" t="n">
        <x:v>72</x:v>
      </x:c>
      <x:c r="H102" s="82" t="n">
        <x:v>114</x:v>
      </x:c>
      <x:c r="I102" s="82" t="n">
        <x:v>8.7</x:v>
      </x:c>
      <x:c r="J102" s="81" t="n">
        <x:v>286</x:v>
      </x:c>
      <x:c r="K102" s="81" t="n">
        <x:v>6</x:v>
      </x:c>
      <x:c r="L102" s="83" t="n">
        <x:f>MAX(0,MIN(100,100-((F102-1)/(MAX($F$5:$F$265)-1))*100))</x:f>
        <x:v>50.55467511885896</x:v>
      </x:c>
      <x:c r="M102" s="83" t="n">
        <x:f>MAX(0,MIN(100,50+(('Sources &amp; Model'!$B$4-F102)/('Sources &amp; Model'!$B$6*2.5))*45))</x:f>
        <x:v>0</x:v>
      </x:c>
      <x:c r="N102" s="83" t="n">
        <x:f>IF(V102="Mine",0,IF(OR(C102="RB",C102="WR"),MAX(30,62-COUNTIFS($C$5:$C$265,C102,$V$5:$V$265,"Mine")*5),IF(OR(C102="D/ST",C102="K"),IF('Sources &amp; Model'!$B$4&gt;='Sources &amp; Model'!$B$6*('Sources &amp; Model'!$B$8-2),62,12),IF(COUNTIFS($C$5:$C$265,C102,$V$5:$V$265,"Mine")=0,82,38))))</x:f>
        <x:v>62</x:v>
      </x:c>
      <x:c r="O102" s="65" t="n">
        <x:v>74.5</x:v>
      </x:c>
      <x:c r="P102" s="83" t="n">
        <x:f>MAX(0,MIN(100,100/(1+EXP(-(('Sources &amp; Model'!$B$5-F102)/MAX(2.5,I102))))))</x:f>
        <x:v>0.0021260876659135288</x:v>
      </x:c>
      <x:c r="Q102" s="65" t="n">
        <x:v>68</x:v>
      </x:c>
      <x:c r="R102" s="65" t="n">
        <x:v>92</x:v>
      </x:c>
      <x:c r="S102" s="65" t="n">
        <x:v>41.8</x:v>
      </x:c>
      <x:c r="T102" s="65" t="n">
        <x:v>50.1</x:v>
      </x:c>
      <x:c r="U102" s="84" t="n">
        <x:f>IF(V102&lt;&gt;"Available","",(L102*'Sources &amp; Model'!$B$13+M102*'Sources &amp; Model'!$B$14+N102*'Sources &amp; Model'!$B$15+O102*'Sources &amp; Model'!$B$16+P102*'Sources &amp; Model'!$B$17+Q102*'Sources &amp; Model'!$B$18+R102*'Sources &amp; Model'!$B$19+S102*'Sources &amp; Model'!$B$20+T102*'Sources &amp; Model'!$B$21)/SUM('Sources &amp; Model'!$B$13:$B$21))</x:f>
        <x:v>44.52580214917865</x:v>
      </x:c>
      <x:c r="V102" s="5" t="str">
        <x:v>Available</x:v>
      </x:c>
      <x:c r="W102" t="str">
        <x:v>https://help.fantasyfootballcalculator.com/article/42-adp-rest-api</x:v>
      </x:c>
    </x:row>
    <x:row r="103">
      <x:c r="A103" s="28" t="n">
        <x:v>99</x:v>
      </x:c>
      <x:c r="B103" s="28" t="str">
        <x:v>J.K. Dobbins</x:v>
      </x:c>
      <x:c r="C103" s="28" t="str">
        <x:v>RB</x:v>
      </x:c>
      <x:c r="D103" s="28" t="str">
        <x:v>DEN</x:v>
      </x:c>
      <x:c r="E103" s="81" t="n">
        <x:v>10</x:v>
      </x:c>
      <x:c r="F103" s="82" t="n">
        <x:v>96.6</x:v>
      </x:c>
      <x:c r="G103" s="82" t="n">
        <x:v>64</x:v>
      </x:c>
      <x:c r="H103" s="82" t="n">
        <x:v>140</x:v>
      </x:c>
      <x:c r="I103" s="82" t="n">
        <x:v>12.2</x:v>
      </x:c>
      <x:c r="J103" s="81" t="n">
        <x:v>687</x:v>
      </x:c>
      <x:c r="K103" s="81" t="n">
        <x:v>6</x:v>
      </x:c>
      <x:c r="L103" s="83" t="n">
        <x:f>MAX(0,MIN(100,100-((F103-1)/(MAX($F$5:$F$265)-1))*100))</x:f>
        <x:v>49.49815108293715</x:v>
      </x:c>
      <x:c r="M103" s="83" t="n">
        <x:f>MAX(0,MIN(100,50+(('Sources &amp; Model'!$B$4-F103)/('Sources &amp; Model'!$B$6*2.5))*45))</x:f>
        <x:v>0</x:v>
      </x:c>
      <x:c r="N103" s="83" t="n">
        <x:f>IF(V103="Mine",0,IF(OR(C103="RB",C103="WR"),MAX(30,62-COUNTIFS($C$5:$C$265,C103,$V$5:$V$265,"Mine")*5),IF(OR(C103="D/ST",C103="K"),IF('Sources &amp; Model'!$B$4&gt;='Sources &amp; Model'!$B$6*('Sources &amp; Model'!$B$8-2),62,12),IF(COUNTIFS($C$5:$C$265,C103,$V$5:$V$265,"Mine")=0,82,38))))</x:f>
        <x:v>62</x:v>
      </x:c>
      <x:c r="O103" s="65" t="n">
        <x:v>47</x:v>
      </x:c>
      <x:c r="P103" s="83" t="n">
        <x:f>MAX(0,MIN(100,100/(1+EXP(-(('Sources &amp; Model'!$B$5-F103)/MAX(2.5,I103))))))</x:f>
        <x:v>0.039506481550250744</x:v>
      </x:c>
      <x:c r="Q103" s="65" t="n">
        <x:v>90</x:v>
      </x:c>
      <x:c r="R103" s="65" t="n">
        <x:v>52</x:v>
      </x:c>
      <x:c r="S103" s="65" t="n">
        <x:v>36.9</x:v>
      </x:c>
      <x:c r="T103" s="65" t="n">
        <x:v>50</x:v>
      </x:c>
      <x:c r="U103" s="84" t="n">
        <x:f>IF(V103&lt;&gt;"Available","",(L103*'Sources &amp; Model'!$B$13+M103*'Sources &amp; Model'!$B$14+N103*'Sources &amp; Model'!$B$15+O103*'Sources &amp; Model'!$B$16+P103*'Sources &amp; Model'!$B$17+Q103*'Sources &amp; Model'!$B$18+R103*'Sources &amp; Model'!$B$19+S103*'Sources &amp; Model'!$B$20+T103*'Sources &amp; Model'!$B$21)/SUM('Sources &amp; Model'!$B$13:$B$21))</x:f>
        <x:v>40.49132201635366</x:v>
      </x:c>
      <x:c r="V103" s="5" t="str">
        <x:v>Available</x:v>
      </x:c>
      <x:c r="W103" t="str">
        <x:v>https://help.fantasyfootballcalculator.com/article/42-adp-rest-api</x:v>
      </x:c>
    </x:row>
    <x:row r="104">
      <x:c r="A104" s="28" t="n">
        <x:v>100</x:v>
      </x:c>
      <x:c r="B104" s="28" t="str">
        <x:v>Aaron Jones</x:v>
      </x:c>
      <x:c r="C104" s="28" t="str">
        <x:v>RB</x:v>
      </x:c>
      <x:c r="D104" s="28" t="str">
        <x:v>MIN</x:v>
      </x:c>
      <x:c r="E104" s="81" t="n">
        <x:v>6</x:v>
      </x:c>
      <x:c r="F104" s="82" t="n">
        <x:v>97.5</x:v>
      </x:c>
      <x:c r="G104" s="82" t="n">
        <x:v>65</x:v>
      </x:c>
      <x:c r="H104" s="82" t="n">
        <x:v>125</x:v>
      </x:c>
      <x:c r="I104" s="82" t="n">
        <x:v>12.7</x:v>
      </x:c>
      <x:c r="J104" s="81" t="n">
        <x:v>372</x:v>
      </x:c>
      <x:c r="K104" s="81" t="n">
        <x:v>6</x:v>
      </x:c>
      <x:c r="L104" s="83" t="n">
        <x:f>MAX(0,MIN(100,100-((F104-1)/(MAX($F$5:$F$265)-1))*100))</x:f>
        <x:v>49.02271526677232</x:v>
      </x:c>
      <x:c r="M104" s="83" t="n">
        <x:f>MAX(0,MIN(100,50+(('Sources &amp; Model'!$B$4-F104)/('Sources &amp; Model'!$B$6*2.5))*45))</x:f>
        <x:v>0</x:v>
      </x:c>
      <x:c r="N104" s="83" t="n">
        <x:f>IF(V104="Mine",0,IF(OR(C104="RB",C104="WR"),MAX(30,62-COUNTIFS($C$5:$C$265,C104,$V$5:$V$265,"Mine")*5),IF(OR(C104="D/ST",C104="K"),IF('Sources &amp; Model'!$B$4&gt;='Sources &amp; Model'!$B$6*('Sources &amp; Model'!$B$8-2),62,12),IF(COUNTIFS($C$5:$C$265,C104,$V$5:$V$265,"Mine")=0,82,38))))</x:f>
        <x:v>62</x:v>
      </x:c>
      <x:c r="O104" s="65" t="n">
        <x:v>79.4</x:v>
      </x:c>
      <x:c r="P104" s="83" t="n">
        <x:f>MAX(0,MIN(100,100/(1+EXP(-(('Sources &amp; Model'!$B$5-F104)/MAX(2.5,I104))))))</x:f>
        <x:v>0.05009890509856267</x:v>
      </x:c>
      <x:c r="Q104" s="65" t="n">
        <x:v>68</x:v>
      </x:c>
      <x:c r="R104" s="65" t="n">
        <x:v>92</x:v>
      </x:c>
      <x:c r="S104" s="65" t="n">
        <x:v>53.6</x:v>
      </x:c>
      <x:c r="T104" s="65" t="n">
        <x:v>50.2</x:v>
      </x:c>
      <x:c r="U104" s="84" t="n">
        <x:f>IF(V104&lt;&gt;"Available","",(L104*'Sources &amp; Model'!$B$13+M104*'Sources &amp; Model'!$B$14+N104*'Sources &amp; Model'!$B$15+O104*'Sources &amp; Model'!$B$16+P104*'Sources &amp; Model'!$B$17+Q104*'Sources &amp; Model'!$B$18+R104*'Sources &amp; Model'!$B$19+S104*'Sources &amp; Model'!$B$20+T104*'Sources &amp; Model'!$B$21)/SUM('Sources &amp; Model'!$B$13:$B$21))</x:f>
        <x:v>44.83473308121244</x:v>
      </x:c>
      <x:c r="V104" s="5" t="str">
        <x:v>Available</x:v>
      </x:c>
      <x:c r="W104" t="str">
        <x:v>https://help.fantasyfootballcalculator.com/article/42-adp-rest-api</x:v>
      </x:c>
    </x:row>
    <x:row r="105">
      <x:c r="A105" s="28" t="n">
        <x:v>101</x:v>
      </x:c>
      <x:c r="B105" s="28" t="str">
        <x:v>Caleb Williams</x:v>
      </x:c>
      <x:c r="C105" s="28" t="str">
        <x:v>QB</x:v>
      </x:c>
      <x:c r="D105" s="28" t="str">
        <x:v>CHI</x:v>
      </x:c>
      <x:c r="E105" s="81" t="n">
        <x:v>10</x:v>
      </x:c>
      <x:c r="F105" s="82" t="n">
        <x:v>98.5</x:v>
      </x:c>
      <x:c r="G105" s="82" t="n">
        <x:v>60</x:v>
      </x:c>
      <x:c r="H105" s="82" t="n">
        <x:v>138</x:v>
      </x:c>
      <x:c r="I105" s="82" t="n">
        <x:v>16.6</x:v>
      </x:c>
      <x:c r="J105" s="81" t="n">
        <x:v>882</x:v>
      </x:c>
      <x:c r="K105" s="81" t="n">
        <x:v>4</x:v>
      </x:c>
      <x:c r="L105" s="83" t="n">
        <x:f>MAX(0,MIN(100,100-((F105-1)/(MAX($F$5:$F$265)-1))*100))</x:f>
        <x:v>48.49445324881141</x:v>
      </x:c>
      <x:c r="M105" s="83" t="n">
        <x:f>MAX(0,MIN(100,50+(('Sources &amp; Model'!$B$4-F105)/('Sources &amp; Model'!$B$6*2.5))*45))</x:f>
        <x:v>0</x:v>
      </x:c>
      <x:c r="N105" s="83" t="n">
        <x:f>IF(V105="Mine",0,IF(OR(C105="RB",C105="WR"),MAX(30,62-COUNTIFS($C$5:$C$265,C105,$V$5:$V$265,"Mine")*5),IF(OR(C105="D/ST",C105="K"),IF('Sources &amp; Model'!$B$4&gt;='Sources &amp; Model'!$B$6*('Sources &amp; Model'!$B$8-2),62,12),IF(COUNTIFS($C$5:$C$265,C105,$V$5:$V$265,"Mine")=0,82,38))))</x:f>
        <x:v>82</x:v>
      </x:c>
      <x:c r="O105" s="65" t="n">
        <x:v>45.3</x:v>
      </x:c>
      <x:c r="P105" s="83" t="n">
        <x:f>MAX(0,MIN(100,100/(1+EXP(-(('Sources &amp; Model'!$B$5-F105)/MAX(2.5,I105))))))</x:f>
        <x:v>0.2805136566904172</x:v>
      </x:c>
      <x:c r="Q105" s="65" t="n">
        <x:v>90</x:v>
      </x:c>
      <x:c r="R105" s="65" t="n">
        <x:v>92</x:v>
      </x:c>
      <x:c r="S105" s="65" t="n">
        <x:v>29.9</x:v>
      </x:c>
      <x:c r="T105" s="65" t="n">
        <x:v>50.3</x:v>
      </x:c>
      <x:c r="U105" s="84" t="n">
        <x:f>IF(V105&lt;&gt;"Available","",(L105*'Sources &amp; Model'!$B$13+M105*'Sources &amp; Model'!$B$14+N105*'Sources &amp; Model'!$B$15+O105*'Sources &amp; Model'!$B$16+P105*'Sources &amp; Model'!$B$17+Q105*'Sources &amp; Model'!$B$18+R105*'Sources &amp; Model'!$B$19+S105*'Sources &amp; Model'!$B$20+T105*'Sources &amp; Model'!$B$21)/SUM('Sources &amp; Model'!$B$13:$B$21))</x:f>
        <x:v>44.433165470264925</x:v>
      </x:c>
      <x:c r="V105" s="5" t="str">
        <x:v>Available</x:v>
      </x:c>
      <x:c r="W105" t="str">
        <x:v>https://help.fantasyfootballcalculator.com/article/42-adp-rest-api</x:v>
      </x:c>
    </x:row>
    <x:row r="106">
      <x:c r="A106" s="28" t="n">
        <x:v>102</x:v>
      </x:c>
      <x:c r="B106" s="28" t="str">
        <x:v>Patrick Mahomes</x:v>
      </x:c>
      <x:c r="C106" s="28" t="str">
        <x:v>QB</x:v>
      </x:c>
      <x:c r="D106" s="28" t="str">
        <x:v>KC</x:v>
      </x:c>
      <x:c r="E106" s="81" t="n">
        <x:v>5</x:v>
      </x:c>
      <x:c r="F106" s="82" t="n">
        <x:v>99.1</x:v>
      </x:c>
      <x:c r="G106" s="82" t="n">
        <x:v>67</x:v>
      </x:c>
      <x:c r="H106" s="82" t="n">
        <x:v>125</x:v>
      </x:c>
      <x:c r="I106" s="82" t="n">
        <x:v>12.3</x:v>
      </x:c>
      <x:c r="J106" s="81" t="n">
        <x:v>604</x:v>
      </x:c>
      <x:c r="K106" s="81" t="n">
        <x:v>4</x:v>
      </x:c>
      <x:c r="L106" s="83" t="n">
        <x:f>MAX(0,MIN(100,100-((F106-1)/(MAX($F$5:$F$265)-1))*100))</x:f>
        <x:v>48.177496038034874</x:v>
      </x:c>
      <x:c r="M106" s="83" t="n">
        <x:f>MAX(0,MIN(100,50+(('Sources &amp; Model'!$B$4-F106)/('Sources &amp; Model'!$B$6*2.5))*45))</x:f>
        <x:v>0</x:v>
      </x:c>
      <x:c r="N106" s="83" t="n">
        <x:f>IF(V106="Mine",0,IF(OR(C106="RB",C106="WR"),MAX(30,62-COUNTIFS($C$5:$C$265,C106,$V$5:$V$265,"Mine")*5),IF(OR(C106="D/ST",C106="K"),IF('Sources &amp; Model'!$B$4&gt;='Sources &amp; Model'!$B$6*('Sources &amp; Model'!$B$8-2),62,12),IF(COUNTIFS($C$5:$C$265,C106,$V$5:$V$265,"Mine")=0,82,38))))</x:f>
        <x:v>82</x:v>
      </x:c>
      <x:c r="O106" s="65" t="n">
        <x:v>73.9</x:v>
      </x:c>
      <x:c r="P106" s="83" t="n">
        <x:f>MAX(0,MIN(100,100/(1+EXP(-(('Sources &amp; Model'!$B$5-F106)/MAX(2.5,I106))))))</x:f>
        <x:v>0.03436271199006642</x:v>
      </x:c>
      <x:c r="Q106" s="65" t="n">
        <x:v>90</x:v>
      </x:c>
      <x:c r="R106" s="65" t="n">
        <x:v>52</x:v>
      </x:c>
      <x:c r="S106" s="65" t="n">
        <x:v>41.3</x:v>
      </x:c>
      <x:c r="T106" s="65" t="n">
        <x:v>49.9</x:v>
      </x:c>
      <x:c r="U106" s="84" t="n">
        <x:f>IF(V106&lt;&gt;"Available","",(L106*'Sources &amp; Model'!$B$13+M106*'Sources &amp; Model'!$B$14+N106*'Sources &amp; Model'!$B$15+O106*'Sources &amp; Model'!$B$16+P106*'Sources &amp; Model'!$B$17+Q106*'Sources &amp; Model'!$B$18+R106*'Sources &amp; Model'!$B$19+S106*'Sources &amp; Model'!$B$20+T106*'Sources &amp; Model'!$B$21)/SUM('Sources &amp; Model'!$B$13:$B$21))</x:f>
        <x:v>46.356784924130864</x:v>
      </x:c>
      <x:c r="V106" s="5" t="str">
        <x:v>Available</x:v>
      </x:c>
      <x:c r="W106" t="str">
        <x:v>https://help.fantasyfootballcalculator.com/article/42-adp-rest-api</x:v>
      </x:c>
    </x:row>
    <x:row r="107">
      <x:c r="A107" s="28" t="n">
        <x:v>103</x:v>
      </x:c>
      <x:c r="B107" s="28" t="str">
        <x:v>Khalil Shakir</x:v>
      </x:c>
      <x:c r="C107" s="28" t="str">
        <x:v>WR</x:v>
      </x:c>
      <x:c r="D107" s="28" t="str">
        <x:v>BUF</x:v>
      </x:c>
      <x:c r="E107" s="81" t="n">
        <x:v>7</x:v>
      </x:c>
      <x:c r="F107" s="82" t="n">
        <x:v>100.5</x:v>
      </x:c>
      <x:c r="G107" s="82" t="n">
        <x:v>78</x:v>
      </x:c>
      <x:c r="H107" s="82" t="n">
        <x:v>125</x:v>
      </x:c>
      <x:c r="I107" s="82" t="n">
        <x:v>8.6</x:v>
      </x:c>
      <x:c r="J107" s="81" t="n">
        <x:v>215</x:v>
      </x:c>
      <x:c r="K107" s="81" t="n">
        <x:v>6</x:v>
      </x:c>
      <x:c r="L107" s="83" t="n">
        <x:f>MAX(0,MIN(100,100-((F107-1)/(MAX($F$5:$F$265)-1))*100))</x:f>
        <x:v>47.43792921288959</x:v>
      </x:c>
      <x:c r="M107" s="83" t="n">
        <x:f>MAX(0,MIN(100,50+(('Sources &amp; Model'!$B$4-F107)/('Sources &amp; Model'!$B$6*2.5))*45))</x:f>
        <x:v>0</x:v>
      </x:c>
      <x:c r="N107" s="83" t="n">
        <x:f>IF(V107="Mine",0,IF(OR(C107="RB",C107="WR"),MAX(30,62-COUNTIFS($C$5:$C$265,C107,$V$5:$V$265,"Mine")*5),IF(OR(C107="D/ST",C107="K"),IF('Sources &amp; Model'!$B$4&gt;='Sources &amp; Model'!$B$6*('Sources &amp; Model'!$B$8-2),62,12),IF(COUNTIFS($C$5:$C$265,C107,$V$5:$V$265,"Mine")=0,82,38))))</x:f>
        <x:v>62</x:v>
      </x:c>
      <x:c r="O107" s="65" t="n">
        <x:v>47</x:v>
      </x:c>
      <x:c r="P107" s="83" t="n">
        <x:f>MAX(0,MIN(100,100/(1+EXP(-(('Sources &amp; Model'!$B$5-F107)/MAX(2.5,I107))))))</x:f>
        <x:v>0.0009447344235376916</x:v>
      </x:c>
      <x:c r="Q107" s="65" t="n">
        <x:v>68</x:v>
      </x:c>
      <x:c r="R107" s="65" t="n">
        <x:v>92</x:v>
      </x:c>
      <x:c r="S107" s="65" t="n">
        <x:v>30.8</x:v>
      </x:c>
      <x:c r="T107" s="65" t="n">
        <x:v>49.3</x:v>
      </x:c>
      <x:c r="U107" s="84" t="n">
        <x:f>IF(V107&lt;&gt;"Available","",(L107*'Sources &amp; Model'!$B$13+M107*'Sources &amp; Model'!$B$14+N107*'Sources &amp; Model'!$B$15+O107*'Sources &amp; Model'!$B$16+P107*'Sources &amp; Model'!$B$17+Q107*'Sources &amp; Model'!$B$18+R107*'Sources &amp; Model'!$B$19+S107*'Sources &amp; Model'!$B$20+T107*'Sources &amp; Model'!$B$21)/SUM('Sources &amp; Model'!$B$13:$B$21))</x:f>
        <x:v>39.93799040582482</x:v>
      </x:c>
      <x:c r="V107" s="5" t="str">
        <x:v>Available</x:v>
      </x:c>
      <x:c r="W107" t="str">
        <x:v>https://help.fantasyfootballcalculator.com/article/42-adp-rest-api</x:v>
      </x:c>
    </x:row>
    <x:row r="108">
      <x:c r="A108" s="28" t="n">
        <x:v>104</x:v>
      </x:c>
      <x:c r="B108" s="28" t="str">
        <x:v>Jordan Addison</x:v>
      </x:c>
      <x:c r="C108" s="28" t="str">
        <x:v>WR</x:v>
      </x:c>
      <x:c r="D108" s="28" t="str">
        <x:v>MIN</x:v>
      </x:c>
      <x:c r="E108" s="81" t="n">
        <x:v>6</x:v>
      </x:c>
      <x:c r="F108" s="82" t="n">
        <x:v>101.4</x:v>
      </x:c>
      <x:c r="G108" s="82" t="n">
        <x:v>78</x:v>
      </x:c>
      <x:c r="H108" s="82" t="n">
        <x:v>118</x:v>
      </x:c>
      <x:c r="I108" s="82" t="n">
        <x:v>8.7</x:v>
      </x:c>
      <x:c r="J108" s="81" t="n">
        <x:v>404</x:v>
      </x:c>
      <x:c r="K108" s="81" t="n">
        <x:v>6</x:v>
      </x:c>
      <x:c r="L108" s="83" t="n">
        <x:f>MAX(0,MIN(100,100-((F108-1)/(MAX($F$5:$F$265)-1))*100))</x:f>
        <x:v>46.96249339672478</x:v>
      </x:c>
      <x:c r="M108" s="83" t="n">
        <x:f>MAX(0,MIN(100,50+(('Sources &amp; Model'!$B$4-F108)/('Sources &amp; Model'!$B$6*2.5))*45))</x:f>
        <x:v>0</x:v>
      </x:c>
      <x:c r="N108" s="83" t="n">
        <x:f>IF(V108="Mine",0,IF(OR(C108="RB",C108="WR"),MAX(30,62-COUNTIFS($C$5:$C$265,C108,$V$5:$V$265,"Mine")*5),IF(OR(C108="D/ST",C108="K"),IF('Sources &amp; Model'!$B$4&gt;='Sources &amp; Model'!$B$6*('Sources &amp; Model'!$B$8-2),62,12),IF(COUNTIFS($C$5:$C$265,C108,$V$5:$V$265,"Mine")=0,82,38))))</x:f>
        <x:v>62</x:v>
      </x:c>
      <x:c r="O108" s="65" t="n">
        <x:v>67.3</x:v>
      </x:c>
      <x:c r="P108" s="83" t="n">
        <x:f>MAX(0,MIN(100,100/(1+EXP(-(('Sources &amp; Model'!$B$5-F108)/MAX(2.5,I108))))))</x:f>
        <x:v>0.0009730555074448232</x:v>
      </x:c>
      <x:c r="Q108" s="65" t="n">
        <x:v>68</x:v>
      </x:c>
      <x:c r="R108" s="65" t="n">
        <x:v>92</x:v>
      </x:c>
      <x:c r="S108" s="65" t="n">
        <x:v>53.6</x:v>
      </x:c>
      <x:c r="T108" s="65" t="n">
        <x:v>50</x:v>
      </x:c>
      <x:c r="U108" s="84" t="n">
        <x:f>IF(V108&lt;&gt;"Available","",(L108*'Sources &amp; Model'!$B$13+M108*'Sources &amp; Model'!$B$14+N108*'Sources &amp; Model'!$B$15+O108*'Sources &amp; Model'!$B$16+P108*'Sources &amp; Model'!$B$17+Q108*'Sources &amp; Model'!$B$18+R108*'Sources &amp; Model'!$B$19+S108*'Sources &amp; Model'!$B$20+T108*'Sources &amp; Model'!$B$21)/SUM('Sources &amp; Model'!$B$13:$B$21))</x:f>
        <x:v>42.67534506043717</x:v>
      </x:c>
      <x:c r="V108" s="5" t="str">
        <x:v>Available</x:v>
      </x:c>
      <x:c r="W108" t="str">
        <x:v>https://help.fantasyfootballcalculator.com/article/42-adp-rest-api</x:v>
      </x:c>
    </x:row>
    <x:row r="109">
      <x:c r="A109" s="28" t="n">
        <x:v>105</x:v>
      </x:c>
      <x:c r="B109" s="28" t="str">
        <x:v>HOU Defense</x:v>
      </x:c>
      <x:c r="C109" s="28" t="str">
        <x:v>D/ST</x:v>
      </x:c>
      <x:c r="D109" s="28" t="str">
        <x:v>HOU</x:v>
      </x:c>
      <x:c r="E109" s="81" t="n">
        <x:v>8</x:v>
      </x:c>
      <x:c r="F109" s="82" t="n">
        <x:v>102.3</x:v>
      </x:c>
      <x:c r="G109" s="82" t="n">
        <x:v>72</x:v>
      </x:c>
      <x:c r="H109" s="82" t="n">
        <x:v>136</x:v>
      </x:c>
      <x:c r="I109" s="82" t="n">
        <x:v>11.4</x:v>
      </x:c>
      <x:c r="J109" s="81" t="n">
        <x:v>564</x:v>
      </x:c>
      <x:c r="K109" s="81" t="n">
        <x:v>1</x:v>
      </x:c>
      <x:c r="L109" s="83" t="n">
        <x:f>MAX(0,MIN(100,100-((F109-1)/(MAX($F$5:$F$265)-1))*100))</x:f>
        <x:v>46.48705758055996</x:v>
      </x:c>
      <x:c r="M109" s="83" t="n">
        <x:f>MAX(0,MIN(100,50+(('Sources &amp; Model'!$B$4-F109)/('Sources &amp; Model'!$B$6*2.5))*45))</x:f>
        <x:v>0</x:v>
      </x:c>
      <x:c r="N109" s="83" t="n">
        <x:f>IF(V109="Mine",0,IF(OR(C109="RB",C109="WR"),MAX(30,62-COUNTIFS($C$5:$C$265,C109,$V$5:$V$265,"Mine")*5),IF(OR(C109="D/ST",C109="K"),IF('Sources &amp; Model'!$B$4&gt;='Sources &amp; Model'!$B$6*('Sources &amp; Model'!$B$8-2),62,12),IF(COUNTIFS($C$5:$C$265,C109,$V$5:$V$265,"Mine")=0,82,38))))</x:f>
        <x:v>12</x:v>
      </x:c>
      <x:c r="O109" s="65" t="n">
        <x:v>100</x:v>
      </x:c>
      <x:c r="P109" s="83" t="n">
        <x:f>MAX(0,MIN(100,100/(1+EXP(-(('Sources &amp; Model'!$B$5-F109)/MAX(2.5,I109))))))</x:f>
        <x:v>0.013829752444170553</x:v>
      </x:c>
      <x:c r="Q109" s="65" t="n">
        <x:v>68</x:v>
      </x:c>
      <x:c r="R109" s="65" t="n">
        <x:v>92</x:v>
      </x:c>
      <x:c r="S109" s="65" t="n">
        <x:v>37.6</x:v>
      </x:c>
      <x:c r="T109" s="65" t="n">
        <x:v>50</x:v>
      </x:c>
      <x:c r="U109" s="84" t="n">
        <x:f>IF(V109&lt;&gt;"Available","",(L109*'Sources &amp; Model'!$B$13+M109*'Sources &amp; Model'!$B$14+N109*'Sources &amp; Model'!$B$15+O109*'Sources &amp; Model'!$B$16+P109*'Sources &amp; Model'!$B$17+Q109*'Sources &amp; Model'!$B$18+R109*'Sources &amp; Model'!$B$19+S109*'Sources &amp; Model'!$B$20+T109*'Sources &amp; Model'!$B$21)/SUM('Sources &amp; Model'!$B$13:$B$21))</x:f>
        <x:v>38.618982552634805</x:v>
      </x:c>
      <x:c r="V109" s="5" t="str">
        <x:v>Available</x:v>
      </x:c>
      <x:c r="W109" t="str">
        <x:v>https://help.fantasyfootballcalculator.com/article/42-adp-rest-api</x:v>
      </x:c>
    </x:row>
    <x:row r="110">
      <x:c r="A110" s="28" t="n">
        <x:v>106</x:v>
      </x:c>
      <x:c r="B110" s="28" t="str">
        <x:v>Tucker Kraft</x:v>
      </x:c>
      <x:c r="C110" s="28" t="str">
        <x:v>TE</x:v>
      </x:c>
      <x:c r="D110" s="28" t="str">
        <x:v>GB</x:v>
      </x:c>
      <x:c r="E110" s="81" t="n">
        <x:v>11</x:v>
      </x:c>
      <x:c r="F110" s="82" t="n">
        <x:v>103.5</x:v>
      </x:c>
      <x:c r="G110" s="82" t="n">
        <x:v>52</x:v>
      </x:c>
      <x:c r="H110" s="82" t="n">
        <x:v>150</x:v>
      </x:c>
      <x:c r="I110" s="82" t="n">
        <x:v>19.4</x:v>
      </x:c>
      <x:c r="J110" s="81" t="n">
        <x:v>829</x:v>
      </x:c>
      <x:c r="K110" s="81" t="n">
        <x:v>4</x:v>
      </x:c>
      <x:c r="L110" s="83" t="n">
        <x:f>MAX(0,MIN(100,100-((F110-1)/(MAX($F$5:$F$265)-1))*100))</x:f>
        <x:v>45.85314315900687</x:v>
      </x:c>
      <x:c r="M110" s="83" t="n">
        <x:f>MAX(0,MIN(100,50+(('Sources &amp; Model'!$B$4-F110)/('Sources &amp; Model'!$B$6*2.5))*45))</x:f>
        <x:v>0</x:v>
      </x:c>
      <x:c r="N110" s="83" t="n">
        <x:f>IF(V110="Mine",0,IF(OR(C110="RB",C110="WR"),MAX(30,62-COUNTIFS($C$5:$C$265,C110,$V$5:$V$265,"Mine")*5),IF(OR(C110="D/ST",C110="K"),IF('Sources &amp; Model'!$B$4&gt;='Sources &amp; Model'!$B$6*('Sources &amp; Model'!$B$8-2),62,12),IF(COUNTIFS($C$5:$C$265,C110,$V$5:$V$265,"Mine")=0,82,38))))</x:f>
        <x:v>82</x:v>
      </x:c>
      <x:c r="O110" s="65" t="n">
        <x:v>69</x:v>
      </x:c>
      <x:c r="P110" s="83" t="n">
        <x:f>MAX(0,MIN(100,100/(1+EXP(-(('Sources &amp; Model'!$B$5-F110)/MAX(2.5,I110))))))</x:f>
        <x:v>0.504899061207189</x:v>
      </x:c>
      <x:c r="Q110" s="65" t="n">
        <x:v>90</x:v>
      </x:c>
      <x:c r="R110" s="65" t="n">
        <x:v>52</x:v>
      </x:c>
      <x:c r="S110" s="65" t="n">
        <x:v>41.8</x:v>
      </x:c>
      <x:c r="T110" s="65" t="n">
        <x:v>49.6</x:v>
      </x:c>
      <x:c r="U110" s="84" t="n">
        <x:f>IF(V110&lt;&gt;"Available","",(L110*'Sources &amp; Model'!$B$13+M110*'Sources &amp; Model'!$B$14+N110*'Sources &amp; Model'!$B$15+O110*'Sources &amp; Model'!$B$16+P110*'Sources &amp; Model'!$B$17+Q110*'Sources &amp; Model'!$B$18+R110*'Sources &amp; Model'!$B$19+S110*'Sources &amp; Model'!$B$20+T110*'Sources &amp; Model'!$B$21)/SUM('Sources &amp; Model'!$B$13:$B$21))</x:f>
        <x:v>45.032558580183064</x:v>
      </x:c>
      <x:c r="V110" s="5" t="str">
        <x:v>Available</x:v>
      </x:c>
      <x:c r="W110" t="str">
        <x:v>https://help.fantasyfootballcalculator.com/article/42-adp-rest-api</x:v>
      </x:c>
    </x:row>
    <x:row r="111">
      <x:c r="A111" s="28" t="n">
        <x:v>107</x:v>
      </x:c>
      <x:c r="B111" s="28" t="str">
        <x:v>Rachaad White</x:v>
      </x:c>
      <x:c r="C111" s="28" t="str">
        <x:v>RB</x:v>
      </x:c>
      <x:c r="D111" s="28" t="str">
        <x:v>WAS</x:v>
      </x:c>
      <x:c r="E111" s="81" t="n">
        <x:v>7</x:v>
      </x:c>
      <x:c r="F111" s="82" t="n">
        <x:v>104.3</x:v>
      </x:c>
      <x:c r="G111" s="82" t="n">
        <x:v>74</x:v>
      </x:c>
      <x:c r="H111" s="82" t="n">
        <x:v>144</x:v>
      </x:c>
      <x:c r="I111" s="82" t="n">
        <x:v>11.6</x:v>
      </x:c>
      <x:c r="J111" s="81" t="n">
        <x:v>489</x:v>
      </x:c>
      <x:c r="K111" s="81" t="n">
        <x:v>6</x:v>
      </x:c>
      <x:c r="L111" s="83" t="n">
        <x:f>MAX(0,MIN(100,100-((F111-1)/(MAX($F$5:$F$265)-1))*100))</x:f>
        <x:v>45.43053354463814</x:v>
      </x:c>
      <x:c r="M111" s="83" t="n">
        <x:f>MAX(0,MIN(100,50+(('Sources &amp; Model'!$B$4-F111)/('Sources &amp; Model'!$B$6*2.5))*45))</x:f>
        <x:v>0</x:v>
      </x:c>
      <x:c r="N111" s="83" t="n">
        <x:f>IF(V111="Mine",0,IF(OR(C111="RB",C111="WR"),MAX(30,62-COUNTIFS($C$5:$C$265,C111,$V$5:$V$265,"Mine")*5),IF(OR(C111="D/ST",C111="K"),IF('Sources &amp; Model'!$B$4&gt;='Sources &amp; Model'!$B$6*('Sources &amp; Model'!$B$8-2),62,12),IF(COUNTIFS($C$5:$C$265,C111,$V$5:$V$265,"Mine")=0,82,38))))</x:f>
        <x:v>62</x:v>
      </x:c>
      <x:c r="O111" s="65" t="n">
        <x:v>67.3</x:v>
      </x:c>
      <x:c r="P111" s="83" t="n">
        <x:f>MAX(0,MIN(100,100/(1+EXP(-(('Sources &amp; Model'!$B$5-F111)/MAX(2.5,I111))))))</x:f>
        <x:v>0.013566687984166648</x:v>
      </x:c>
      <x:c r="Q111" s="65" t="n">
        <x:v>68</x:v>
      </x:c>
      <x:c r="R111" s="65" t="n">
        <x:v>92</x:v>
      </x:c>
      <x:c r="S111" s="65" t="n">
        <x:v>41.1</x:v>
      </x:c>
      <x:c r="T111" s="65" t="n">
        <x:v>50.4</x:v>
      </x:c>
      <x:c r="U111" s="84" t="n">
        <x:f>IF(V111&lt;&gt;"Available","",(L111*'Sources &amp; Model'!$B$13+M111*'Sources &amp; Model'!$B$14+N111*'Sources &amp; Model'!$B$15+O111*'Sources &amp; Model'!$B$16+P111*'Sources &amp; Model'!$B$17+Q111*'Sources &amp; Model'!$B$18+R111*'Sources &amp; Model'!$B$19+S111*'Sources &amp; Model'!$B$20+T111*'Sources &amp; Model'!$B$21)/SUM('Sources &amp; Model'!$B$13:$B$21))</x:f>
        <x:v>41.909738073975376</x:v>
      </x:c>
      <x:c r="V111" s="5" t="str">
        <x:v>Available</x:v>
      </x:c>
      <x:c r="W111" t="str">
        <x:v>https://help.fantasyfootballcalculator.com/article/42-adp-rest-api</x:v>
      </x:c>
    </x:row>
    <x:row r="112">
      <x:c r="A112" s="28" t="n">
        <x:v>108</x:v>
      </x:c>
      <x:c r="B112" s="28" t="str">
        <x:v>Justin Herbert</x:v>
      </x:c>
      <x:c r="C112" s="28" t="str">
        <x:v>QB</x:v>
      </x:c>
      <x:c r="D112" s="28" t="str">
        <x:v>LAC</x:v>
      </x:c>
      <x:c r="E112" s="81" t="n">
        <x:v>7</x:v>
      </x:c>
      <x:c r="F112" s="82" t="n">
        <x:v>104.9</x:v>
      </x:c>
      <x:c r="G112" s="82" t="n">
        <x:v>70</x:v>
      </x:c>
      <x:c r="H112" s="82" t="n">
        <x:v>138</x:v>
      </x:c>
      <x:c r="I112" s="82" t="n">
        <x:v>13.3</x:v>
      </x:c>
      <x:c r="J112" s="81" t="n">
        <x:v>1140</x:v>
      </x:c>
      <x:c r="K112" s="81" t="n">
        <x:v>4</x:v>
      </x:c>
      <x:c r="L112" s="83" t="n">
        <x:f>MAX(0,MIN(100,100-((F112-1)/(MAX($F$5:$F$265)-1))*100))</x:f>
        <x:v>45.113576333861594</x:v>
      </x:c>
      <x:c r="M112" s="83" t="n">
        <x:f>MAX(0,MIN(100,50+(('Sources &amp; Model'!$B$4-F112)/('Sources &amp; Model'!$B$6*2.5))*45))</x:f>
        <x:v>0</x:v>
      </x:c>
      <x:c r="N112" s="83" t="n">
        <x:f>IF(V112="Mine",0,IF(OR(C112="RB",C112="WR"),MAX(30,62-COUNTIFS($C$5:$C$265,C112,$V$5:$V$265,"Mine")*5),IF(OR(C112="D/ST",C112="K"),IF('Sources &amp; Model'!$B$4&gt;='Sources &amp; Model'!$B$6*('Sources &amp; Model'!$B$8-2),62,12),IF(COUNTIFS($C$5:$C$265,C112,$V$5:$V$265,"Mine")=0,82,38))))</x:f>
        <x:v>82</x:v>
      </x:c>
      <x:c r="O112" s="65" t="n">
        <x:v>54.1</x:v>
      </x:c>
      <x:c r="P112" s="83" t="n">
        <x:f>MAX(0,MIN(100,100/(1+EXP(-(('Sources &amp; Model'!$B$5-F112)/MAX(2.5,I112))))))</x:f>
        <x:v>0.04046715414652295</x:v>
      </x:c>
      <x:c r="Q112" s="65" t="n">
        <x:v>90</x:v>
      </x:c>
      <x:c r="R112" s="65" t="n">
        <x:v>92</x:v>
      </x:c>
      <x:c r="S112" s="65" t="n">
        <x:v>54.4</x:v>
      </x:c>
      <x:c r="T112" s="65" t="n">
        <x:v>50.3</x:v>
      </x:c>
      <x:c r="U112" s="84" t="n">
        <x:f>IF(V112&lt;&gt;"Available","",(L112*'Sources &amp; Model'!$B$13+M112*'Sources &amp; Model'!$B$14+N112*'Sources &amp; Model'!$B$15+O112*'Sources &amp; Model'!$B$16+P112*'Sources &amp; Model'!$B$17+Q112*'Sources &amp; Model'!$B$18+R112*'Sources &amp; Model'!$B$19+S112*'Sources &amp; Model'!$B$20+T112*'Sources &amp; Model'!$B$21)/SUM('Sources &amp; Model'!$B$13:$B$21))</x:f>
        <x:v>44.805662668927596</x:v>
      </x:c>
      <x:c r="V112" s="5" t="str">
        <x:v>Available</x:v>
      </x:c>
      <x:c r="W112" t="str">
        <x:v>https://help.fantasyfootballcalculator.com/article/42-adp-rest-api</x:v>
      </x:c>
    </x:row>
    <x:row r="113">
      <x:c r="A113" s="28" t="n">
        <x:v>109</x:v>
      </x:c>
      <x:c r="B113" s="28" t="str">
        <x:v>Deebo Samuel</x:v>
      </x:c>
      <x:c r="C113" s="28" t="str">
        <x:v>WR</x:v>
      </x:c>
      <x:c r="D113" s="28" t="str">
        <x:v>SF</x:v>
      </x:c>
      <x:c r="E113" s="81" t="n">
        <x:v>8</x:v>
      </x:c>
      <x:c r="F113" s="82" t="n">
        <x:v>106</x:v>
      </x:c>
      <x:c r="G113" s="82" t="n">
        <x:v>72</x:v>
      </x:c>
      <x:c r="H113" s="82" t="n">
        <x:v>146</x:v>
      </x:c>
      <x:c r="I113" s="82" t="n">
        <x:v>13</x:v>
      </x:c>
      <x:c r="J113" s="81" t="n">
        <x:v>389</x:v>
      </x:c>
      <x:c r="K113" s="81" t="n">
        <x:v>7</x:v>
      </x:c>
      <x:c r="L113" s="83" t="n">
        <x:f>MAX(0,MIN(100,100-((F113-1)/(MAX($F$5:$F$265)-1))*100))</x:f>
        <x:v>44.532488114104595</x:v>
      </x:c>
      <x:c r="M113" s="83" t="n">
        <x:f>MAX(0,MIN(100,50+(('Sources &amp; Model'!$B$4-F113)/('Sources &amp; Model'!$B$6*2.5))*45))</x:f>
        <x:v>0</x:v>
      </x:c>
      <x:c r="N113" s="83" t="n">
        <x:f>IF(V113="Mine",0,IF(OR(C113="RB",C113="WR"),MAX(30,62-COUNTIFS($C$5:$C$265,C113,$V$5:$V$265,"Mine")*5),IF(OR(C113="D/ST",C113="K"),IF('Sources &amp; Model'!$B$4&gt;='Sources &amp; Model'!$B$6*('Sources &amp; Model'!$B$8-2),62,12),IF(COUNTIFS($C$5:$C$265,C113,$V$5:$V$265,"Mine")=0,82,38))))</x:f>
        <x:v>62</x:v>
      </x:c>
      <x:c r="O113" s="65" t="n">
        <x:v>44.8</x:v>
      </x:c>
      <x:c r="P113" s="83" t="n">
        <x:f>MAX(0,MIN(100,100/(1+EXP(-(('Sources &amp; Model'!$B$5-F113)/MAX(2.5,I113))))))</x:f>
        <x:v>0.031052887863928957</x:v>
      </x:c>
      <x:c r="Q113" s="65" t="n">
        <x:v>68</x:v>
      </x:c>
      <x:c r="R113" s="65" t="n">
        <x:v>92</x:v>
      </x:c>
      <x:c r="S113" s="65" t="n">
        <x:v>39.3</x:v>
      </x:c>
      <x:c r="T113" s="65" t="n">
        <x:v>49.7</x:v>
      </x:c>
      <x:c r="U113" s="84" t="n">
        <x:f>IF(V113&lt;&gt;"Available","",(L113*'Sources &amp; Model'!$B$13+M113*'Sources &amp; Model'!$B$14+N113*'Sources &amp; Model'!$B$15+O113*'Sources &amp; Model'!$B$16+P113*'Sources &amp; Model'!$B$17+Q113*'Sources &amp; Model'!$B$18+R113*'Sources &amp; Model'!$B$19+S113*'Sources &amp; Model'!$B$20+T113*'Sources &amp; Model'!$B$21)/SUM('Sources &amp; Model'!$B$13:$B$21))</x:f>
        <x:v>38.86315124758195</x:v>
      </x:c>
      <x:c r="V113" s="5" t="str">
        <x:v>Available</x:v>
      </x:c>
      <x:c r="W113" t="str">
        <x:v>https://help.fantasyfootballcalculator.com/article/42-adp-rest-api</x:v>
      </x:c>
    </x:row>
    <x:row r="114">
      <x:c r="A114" s="28" t="n">
        <x:v>110</x:v>
      </x:c>
      <x:c r="B114" s="28" t="str">
        <x:v>Xavier Worthy</x:v>
      </x:c>
      <x:c r="C114" s="28" t="str">
        <x:v>WR</x:v>
      </x:c>
      <x:c r="D114" s="28" t="str">
        <x:v>KC</x:v>
      </x:c>
      <x:c r="E114" s="81" t="n">
        <x:v>5</x:v>
      </x:c>
      <x:c r="F114" s="82" t="n">
        <x:v>106.5</x:v>
      </x:c>
      <x:c r="G114" s="82" t="n">
        <x:v>84</x:v>
      </x:c>
      <x:c r="H114" s="82" t="n">
        <x:v>128</x:v>
      </x:c>
      <x:c r="I114" s="82" t="n">
        <x:v>8.4</x:v>
      </x:c>
      <x:c r="J114" s="81" t="n">
        <x:v>438</x:v>
      </x:c>
      <x:c r="K114" s="81" t="n">
        <x:v>7</x:v>
      </x:c>
      <x:c r="L114" s="83" t="n">
        <x:f>MAX(0,MIN(100,100-((F114-1)/(MAX($F$5:$F$265)-1))*100))</x:f>
        <x:v>44.268357105124146</x:v>
      </x:c>
      <x:c r="M114" s="83" t="n">
        <x:f>MAX(0,MIN(100,50+(('Sources &amp; Model'!$B$4-F114)/('Sources &amp; Model'!$B$6*2.5))*45))</x:f>
        <x:v>0</x:v>
      </x:c>
      <x:c r="N114" s="83" t="n">
        <x:f>IF(V114="Mine",0,IF(OR(C114="RB",C114="WR"),MAX(30,62-COUNTIFS($C$5:$C$265,C114,$V$5:$V$265,"Mine")*5),IF(OR(C114="D/ST",C114="K"),IF('Sources &amp; Model'!$B$4&gt;='Sources &amp; Model'!$B$6*('Sources &amp; Model'!$B$8-2),62,12),IF(COUNTIFS($C$5:$C$265,C114,$V$5:$V$265,"Mine")=0,82,38))))</x:f>
        <x:v>62</x:v>
      </x:c>
      <x:c r="O114" s="65" t="n">
        <x:v>63.5</x:v>
      </x:c>
      <x:c r="P114" s="83" t="n">
        <x:f>MAX(0,MIN(100,100/(1+EXP(-(('Sources &amp; Model'!$B$5-F114)/MAX(2.5,I114))))))</x:f>
        <x:v>0.00035112891074980785</x:v>
      </x:c>
      <x:c r="Q114" s="65" t="n">
        <x:v>68</x:v>
      </x:c>
      <x:c r="R114" s="65" t="n">
        <x:v>52</x:v>
      </x:c>
      <x:c r="S114" s="65" t="n">
        <x:v>41.3</x:v>
      </x:c>
      <x:c r="T114" s="65" t="n">
        <x:v>50</x:v>
      </x:c>
      <x:c r="U114" s="84" t="n">
        <x:f>IF(V114&lt;&gt;"Available","",(L114*'Sources &amp; Model'!$B$13+M114*'Sources &amp; Model'!$B$14+N114*'Sources &amp; Model'!$B$15+O114*'Sources &amp; Model'!$B$16+P114*'Sources &amp; Model'!$B$17+Q114*'Sources &amp; Model'!$B$18+R114*'Sources &amp; Model'!$B$19+S114*'Sources &amp; Model'!$B$20+T114*'Sources &amp; Model'!$B$21)/SUM('Sources &amp; Model'!$B$13:$B$21))</x:f>
        <x:v>39.45727652863328</x:v>
      </x:c>
      <x:c r="V114" s="5" t="str">
        <x:v>Available</x:v>
      </x:c>
      <x:c r="W114" t="str">
        <x:v>https://help.fantasyfootballcalculator.com/article/42-adp-rest-api</x:v>
      </x:c>
    </x:row>
    <x:row r="115">
      <x:c r="A115" s="28" t="n">
        <x:v>111</x:v>
      </x:c>
      <x:c r="B115" s="28" t="str">
        <x:v>Jared Goff</x:v>
      </x:c>
      <x:c r="C115" s="28" t="str">
        <x:v>QB</x:v>
      </x:c>
      <x:c r="D115" s="28" t="str">
        <x:v>DET</x:v>
      </x:c>
      <x:c r="E115" s="81" t="n">
        <x:v>6</x:v>
      </x:c>
      <x:c r="F115" s="82" t="n">
        <x:v>107.1</x:v>
      </x:c>
      <x:c r="G115" s="82" t="n">
        <x:v>74</x:v>
      </x:c>
      <x:c r="H115" s="82" t="n">
        <x:v>132</x:v>
      </x:c>
      <x:c r="I115" s="82" t="n">
        <x:v>12.6</x:v>
      </x:c>
      <x:c r="J115" s="81" t="n">
        <x:v>409</x:v>
      </x:c>
      <x:c r="K115" s="81" t="n">
        <x:v>4</x:v>
      </x:c>
      <x:c r="L115" s="83" t="n">
        <x:f>MAX(0,MIN(100,100-((F115-1)/(MAX($F$5:$F$265)-1))*100))</x:f>
        <x:v>43.951399894347595</x:v>
      </x:c>
      <x:c r="M115" s="83" t="n">
        <x:f>MAX(0,MIN(100,50+(('Sources &amp; Model'!$B$4-F115)/('Sources &amp; Model'!$B$6*2.5))*45))</x:f>
        <x:v>0</x:v>
      </x:c>
      <x:c r="N115" s="83" t="n">
        <x:f>IF(V115="Mine",0,IF(OR(C115="RB",C115="WR"),MAX(30,62-COUNTIFS($C$5:$C$265,C115,$V$5:$V$265,"Mine")*5),IF(OR(C115="D/ST",C115="K"),IF('Sources &amp; Model'!$B$4&gt;='Sources &amp; Model'!$B$6*('Sources &amp; Model'!$B$8-2),62,12),IF(COUNTIFS($C$5:$C$265,C115,$V$5:$V$265,"Mine")=0,82,38))))</x:f>
        <x:v>82</x:v>
      </x:c>
      <x:c r="O115" s="65" t="n">
        <x:v>46.4</x:v>
      </x:c>
      <x:c r="P115" s="83" t="n">
        <x:f>MAX(0,MIN(100,100/(1+EXP(-(('Sources &amp; Model'!$B$5-F115)/MAX(2.5,I115))))))</x:f>
        <x:v>0.022022624115613645</x:v>
      </x:c>
      <x:c r="Q115" s="65" t="n">
        <x:v>90</x:v>
      </x:c>
      <x:c r="R115" s="65" t="n">
        <x:v>92</x:v>
      </x:c>
      <x:c r="S115" s="65" t="n">
        <x:v>45.2</x:v>
      </x:c>
      <x:c r="T115" s="65" t="n">
        <x:v>50.2</x:v>
      </x:c>
      <x:c r="U115" s="84" t="n">
        <x:f>IF(V115&lt;&gt;"Available","",(L115*'Sources &amp; Model'!$B$13+M115*'Sources &amp; Model'!$B$14+N115*'Sources &amp; Model'!$B$15+O115*'Sources &amp; Model'!$B$16+P115*'Sources &amp; Model'!$B$17+Q115*'Sources &amp; Model'!$B$18+R115*'Sources &amp; Model'!$B$19+S115*'Sources &amp; Model'!$B$20+T115*'Sources &amp; Model'!$B$21)/SUM('Sources &amp; Model'!$B$13:$B$21))</x:f>
        <x:v>43.29967822648973</x:v>
      </x:c>
      <x:c r="V115" s="5" t="str">
        <x:v>Available</x:v>
      </x:c>
      <x:c r="W115" t="str">
        <x:v>https://help.fantasyfootballcalculator.com/article/42-adp-rest-api</x:v>
      </x:c>
    </x:row>
    <x:row r="116">
      <x:c r="A116" s="28" t="n">
        <x:v>112</x:v>
      </x:c>
      <x:c r="B116" s="28" t="str">
        <x:v>Jaxson Dart</x:v>
      </x:c>
      <x:c r="C116" s="28" t="str">
        <x:v>QB</x:v>
      </x:c>
      <x:c r="D116" s="28" t="str">
        <x:v>NYG</x:v>
      </x:c>
      <x:c r="E116" s="81" t="n">
        <x:v>8</x:v>
      </x:c>
      <x:c r="F116" s="82" t="n">
        <x:v>107.9</x:v>
      </x:c>
      <x:c r="G116" s="82" t="n">
        <x:v>68</x:v>
      </x:c>
      <x:c r="H116" s="82" t="n">
        <x:v>140</x:v>
      </x:c>
      <x:c r="I116" s="82" t="n">
        <x:v>15.3</x:v>
      </x:c>
      <x:c r="J116" s="81" t="n">
        <x:v>358</x:v>
      </x:c>
      <x:c r="K116" s="81" t="n">
        <x:v>4</x:v>
      </x:c>
      <x:c r="L116" s="83" t="n">
        <x:f>MAX(0,MIN(100,100-((F116-1)/(MAX($F$5:$F$265)-1))*100))</x:f>
        <x:v>43.52879027997887</x:v>
      </x:c>
      <x:c r="M116" s="83" t="n">
        <x:f>MAX(0,MIN(100,50+(('Sources &amp; Model'!$B$4-F116)/('Sources &amp; Model'!$B$6*2.5))*45))</x:f>
        <x:v>0</x:v>
      </x:c>
      <x:c r="N116" s="83" t="n">
        <x:f>IF(V116="Mine",0,IF(OR(C116="RB",C116="WR"),MAX(30,62-COUNTIFS($C$5:$C$265,C116,$V$5:$V$265,"Mine")*5),IF(OR(C116="D/ST",C116="K"),IF('Sources &amp; Model'!$B$4&gt;='Sources &amp; Model'!$B$6*('Sources &amp; Model'!$B$8-2),62,12),IF(COUNTIFS($C$5:$C$265,C116,$V$5:$V$265,"Mine")=0,82,38))))</x:f>
        <x:v>82</x:v>
      </x:c>
      <x:c r="O116" s="65" t="n">
        <x:v>100</x:v>
      </x:c>
      <x:c r="P116" s="83" t="n">
        <x:f>MAX(0,MIN(100,100/(1+EXP(-(('Sources &amp; Model'!$B$5-F116)/MAX(2.5,I116))))))</x:f>
        <x:v>0.09230274736519563</x:v>
      </x:c>
      <x:c r="Q116" s="65" t="n">
        <x:v>90</x:v>
      </x:c>
      <x:c r="R116" s="65" t="n">
        <x:v>92</x:v>
      </x:c>
      <x:c r="S116" s="65" t="n">
        <x:v>40.4</x:v>
      </x:c>
      <x:c r="T116" s="65" t="n">
        <x:v>50</x:v>
      </x:c>
      <x:c r="U116" s="84" t="n">
        <x:f>IF(V116&lt;&gt;"Available","",(L116*'Sources &amp; Model'!$B$13+M116*'Sources &amp; Model'!$B$14+N116*'Sources &amp; Model'!$B$15+O116*'Sources &amp; Model'!$B$16+P116*'Sources &amp; Model'!$B$17+Q116*'Sources &amp; Model'!$B$18+R116*'Sources &amp; Model'!$B$19+S116*'Sources &amp; Model'!$B$20+T116*'Sources &amp; Model'!$B$21)/SUM('Sources &amp; Model'!$B$13:$B$21))</x:f>
        <x:v>49.49701896992934</x:v>
      </x:c>
      <x:c r="V116" s="5" t="str">
        <x:v>Available</x:v>
      </x:c>
      <x:c r="W116" t="str">
        <x:v>https://help.fantasyfootballcalculator.com/article/42-adp-rest-api</x:v>
      </x:c>
    </x:row>
    <x:row r="117">
      <x:c r="A117" s="28" t="n">
        <x:v>113</x:v>
      </x:c>
      <x:c r="B117" s="28" t="str">
        <x:v>Travis Kelce</x:v>
      </x:c>
      <x:c r="C117" s="28" t="str">
        <x:v>TE</x:v>
      </x:c>
      <x:c r="D117" s="28" t="str">
        <x:v>KC</x:v>
      </x:c>
      <x:c r="E117" s="81" t="n">
        <x:v>5</x:v>
      </x:c>
      <x:c r="F117" s="82" t="n">
        <x:v>108.4</x:v>
      </x:c>
      <x:c r="G117" s="82" t="n">
        <x:v>55</x:v>
      </x:c>
      <x:c r="H117" s="82" t="n">
        <x:v>149</x:v>
      </x:c>
      <x:c r="I117" s="82" t="n">
        <x:v>20.5</x:v>
      </x:c>
      <x:c r="J117" s="81" t="n">
        <x:v>229</x:v>
      </x:c>
      <x:c r="K117" s="81" t="n">
        <x:v>4</x:v>
      </x:c>
      <x:c r="L117" s="83" t="n">
        <x:f>MAX(0,MIN(100,100-((F117-1)/(MAX($F$5:$F$265)-1))*100))</x:f>
        <x:v>43.264659270998415</x:v>
      </x:c>
      <x:c r="M117" s="83" t="n">
        <x:f>MAX(0,MIN(100,50+(('Sources &amp; Model'!$B$4-F117)/('Sources &amp; Model'!$B$6*2.5))*45))</x:f>
        <x:v>0</x:v>
      </x:c>
      <x:c r="N117" s="83" t="n">
        <x:f>IF(V117="Mine",0,IF(OR(C117="RB",C117="WR"),MAX(30,62-COUNTIFS($C$5:$C$265,C117,$V$5:$V$265,"Mine")*5),IF(OR(C117="D/ST",C117="K"),IF('Sources &amp; Model'!$B$4&gt;='Sources &amp; Model'!$B$6*('Sources &amp; Model'!$B$8-2),62,12),IF(COUNTIFS($C$5:$C$265,C117,$V$5:$V$265,"Mine")=0,82,38))))</x:f>
        <x:v>82</x:v>
      </x:c>
      <x:c r="O117" s="65" t="n">
        <x:v>72.3</x:v>
      </x:c>
      <x:c r="P117" s="83" t="n">
        <x:f>MAX(0,MIN(100,100/(1+EXP(-(('Sources &amp; Model'!$B$5-F117)/MAX(2.5,I117))))))</x:f>
        <x:v>0.5277431297270986</x:v>
      </x:c>
      <x:c r="Q117" s="65" t="n">
        <x:v>90</x:v>
      </x:c>
      <x:c r="R117" s="65" t="n">
        <x:v>92</x:v>
      </x:c>
      <x:c r="S117" s="65" t="n">
        <x:v>41.3</x:v>
      </x:c>
      <x:c r="T117" s="65" t="n">
        <x:v>49.8</x:v>
      </x:c>
      <x:c r="U117" s="84" t="n">
        <x:f>IF(V117&lt;&gt;"Available","",(L117*'Sources &amp; Model'!$B$13+M117*'Sources &amp; Model'!$B$14+N117*'Sources &amp; Model'!$B$15+O117*'Sources &amp; Model'!$B$16+P117*'Sources &amp; Model'!$B$17+Q117*'Sources &amp; Model'!$B$18+R117*'Sources &amp; Model'!$B$19+S117*'Sources &amp; Model'!$B$20+T117*'Sources &amp; Model'!$B$21)/SUM('Sources &amp; Model'!$B$13:$B$21))</x:f>
        <x:v>46.14275846511217</x:v>
      </x:c>
      <x:c r="V117" s="5" t="str">
        <x:v>Available</x:v>
      </x:c>
      <x:c r="W117" t="str">
        <x:v>https://help.fantasyfootballcalculator.com/article/42-adp-rest-api</x:v>
      </x:c>
    </x:row>
    <x:row r="118">
      <x:c r="A118" s="28" t="n">
        <x:v>114</x:v>
      </x:c>
      <x:c r="B118" s="28" t="str">
        <x:v>Jonathon Brooks</x:v>
      </x:c>
      <x:c r="C118" s="28" t="str">
        <x:v>RB</x:v>
      </x:c>
      <x:c r="D118" s="28" t="str">
        <x:v>CAR</x:v>
      </x:c>
      <x:c r="E118" s="81" t="n">
        <x:v>5</x:v>
      </x:c>
      <x:c r="F118" s="82" t="n">
        <x:v>108.9</x:v>
      </x:c>
      <x:c r="G118" s="82" t="n">
        <x:v>67</x:v>
      </x:c>
      <x:c r="H118" s="82" t="n">
        <x:v>150</x:v>
      </x:c>
      <x:c r="I118" s="82" t="n">
        <x:v>16</x:v>
      </x:c>
      <x:c r="J118" s="81" t="n">
        <x:v>1799</x:v>
      </x:c>
      <x:c r="K118" s="81" t="n">
        <x:v>6</x:v>
      </x:c>
      <x:c r="L118" s="83" t="n">
        <x:f>MAX(0,MIN(100,100-((F118-1)/(MAX($F$5:$F$265)-1))*100))</x:f>
        <x:v>43.00052826201796</x:v>
      </x:c>
      <x:c r="M118" s="83" t="n">
        <x:f>MAX(0,MIN(100,50+(('Sources &amp; Model'!$B$4-F118)/('Sources &amp; Model'!$B$6*2.5))*45))</x:f>
        <x:v>0</x:v>
      </x:c>
      <x:c r="N118" s="83" t="n">
        <x:f>IF(V118="Mine",0,IF(OR(C118="RB",C118="WR"),MAX(30,62-COUNTIFS($C$5:$C$265,C118,$V$5:$V$265,"Mine")*5),IF(OR(C118="D/ST",C118="K"),IF('Sources &amp; Model'!$B$4&gt;='Sources &amp; Model'!$B$6*('Sources &amp; Model'!$B$8-2),62,12),IF(COUNTIFS($C$5:$C$265,C118,$V$5:$V$265,"Mine")=0,82,38))))</x:f>
        <x:v>62</x:v>
      </x:c>
      <x:c r="O118" s="65" t="n">
        <x:v>45.3</x:v>
      </x:c>
      <x:c r="P118" s="83" t="n">
        <x:f>MAX(0,MIN(100,100/(1+EXP(-(('Sources &amp; Model'!$B$5-F118)/MAX(2.5,I118))))))</x:f>
        <x:v>0.11768339649378261</x:v>
      </x:c>
      <x:c r="Q118" s="65" t="n">
        <x:v>68</x:v>
      </x:c>
      <x:c r="R118" s="65" t="n">
        <x:v>92</x:v>
      </x:c>
      <x:c r="S118" s="65" t="n">
        <x:v>43.9</x:v>
      </x:c>
      <x:c r="T118" s="65" t="n">
        <x:v>50</x:v>
      </x:c>
      <x:c r="U118" s="84" t="n">
        <x:f>IF(V118&lt;&gt;"Available","",(L118*'Sources &amp; Model'!$B$13+M118*'Sources &amp; Model'!$B$14+N118*'Sources &amp; Model'!$B$15+O118*'Sources &amp; Model'!$B$16+P118*'Sources &amp; Model'!$B$17+Q118*'Sources &amp; Model'!$B$18+R118*'Sources &amp; Model'!$B$19+S118*'Sources &amp; Model'!$B$20+T118*'Sources &amp; Model'!$B$21)/SUM('Sources &amp; Model'!$B$13:$B$21))</x:f>
        <x:v>38.50594794873549</x:v>
      </x:c>
      <x:c r="V118" s="5" t="str">
        <x:v>Available</x:v>
      </x:c>
      <x:c r="W118" t="str">
        <x:v>https://help.fantasyfootballcalculator.com/article/42-adp-rest-api</x:v>
      </x:c>
    </x:row>
    <x:row r="119">
      <x:c r="A119" s="28" t="n">
        <x:v>115</x:v>
      </x:c>
      <x:c r="B119" s="28" t="str">
        <x:v>Kyle Monangai</x:v>
      </x:c>
      <x:c r="C119" s="28" t="str">
        <x:v>RB</x:v>
      </x:c>
      <x:c r="D119" s="28" t="str">
        <x:v>CHI</x:v>
      </x:c>
      <x:c r="E119" s="81" t="n">
        <x:v>10</x:v>
      </x:c>
      <x:c r="F119" s="82" t="n">
        <x:v>109.5</x:v>
      </x:c>
      <x:c r="G119" s="82" t="n">
        <x:v>70</x:v>
      </x:c>
      <x:c r="H119" s="82" t="n">
        <x:v>149</x:v>
      </x:c>
      <x:c r="I119" s="82" t="n">
        <x:v>14.9</x:v>
      </x:c>
      <x:c r="J119" s="81" t="n">
        <x:v>723</x:v>
      </x:c>
      <x:c r="K119" s="81" t="n">
        <x:v>6</x:v>
      </x:c>
      <x:c r="L119" s="83" t="n">
        <x:f>MAX(0,MIN(100,100-((F119-1)/(MAX($F$5:$F$265)-1))*100))</x:f>
        <x:v>42.68357105124142</x:v>
      </x:c>
      <x:c r="M119" s="83" t="n">
        <x:f>MAX(0,MIN(100,50+(('Sources &amp; Model'!$B$4-F119)/('Sources &amp; Model'!$B$6*2.5))*45))</x:f>
        <x:v>0</x:v>
      </x:c>
      <x:c r="N119" s="83" t="n">
        <x:f>IF(V119="Mine",0,IF(OR(C119="RB",C119="WR"),MAX(30,62-COUNTIFS($C$5:$C$265,C119,$V$5:$V$265,"Mine")*5),IF(OR(C119="D/ST",C119="K"),IF('Sources &amp; Model'!$B$4&gt;='Sources &amp; Model'!$B$6*('Sources &amp; Model'!$B$8-2),62,12),IF(COUNTIFS($C$5:$C$265,C119,$V$5:$V$265,"Mine")=0,82,38))))</x:f>
        <x:v>62</x:v>
      </x:c>
      <x:c r="O119" s="65" t="n">
        <x:v>64.5</x:v>
      </x:c>
      <x:c r="P119" s="83" t="n">
        <x:f>MAX(0,MIN(100,100/(1+EXP(-(('Sources &amp; Model'!$B$5-F119)/MAX(2.5,I119))))))</x:f>
        <x:v>0.06874187963443293</x:v>
      </x:c>
      <x:c r="Q119" s="65" t="n">
        <x:v>68</x:v>
      </x:c>
      <x:c r="R119" s="65" t="n">
        <x:v>52</x:v>
      </x:c>
      <x:c r="S119" s="65" t="n">
        <x:v>29.9</x:v>
      </x:c>
      <x:c r="T119" s="65" t="n">
        <x:v>50</x:v>
      </x:c>
      <x:c r="U119" s="84" t="n">
        <x:f>IF(V119&lt;&gt;"Available","",(L119*'Sources &amp; Model'!$B$13+M119*'Sources &amp; Model'!$B$14+N119*'Sources &amp; Model'!$B$15+O119*'Sources &amp; Model'!$B$16+P119*'Sources &amp; Model'!$B$17+Q119*'Sources &amp; Model'!$B$18+R119*'Sources &amp; Model'!$B$19+S119*'Sources &amp; Model'!$B$20+T119*'Sources &amp; Model'!$B$21)/SUM('Sources &amp; Model'!$B$13:$B$21))</x:f>
        <x:v>38.81728834538553</x:v>
      </x:c>
      <x:c r="V119" s="5" t="str">
        <x:v>Available</x:v>
      </x:c>
      <x:c r="W119" t="str">
        <x:v>https://help.fantasyfootballcalculator.com/article/42-adp-rest-api</x:v>
      </x:c>
    </x:row>
    <x:row r="120">
      <x:c r="A120" s="28" t="n">
        <x:v>116</x:v>
      </x:c>
      <x:c r="B120" s="28" t="str">
        <x:v>Makai Lemon</x:v>
      </x:c>
      <x:c r="C120" s="28" t="str">
        <x:v>WR</x:v>
      </x:c>
      <x:c r="D120" s="28" t="str">
        <x:v>PHI</x:v>
      </x:c>
      <x:c r="E120" s="81" t="n">
        <x:v>10</x:v>
      </x:c>
      <x:c r="F120" s="82" t="n">
        <x:v>110.4</x:v>
      </x:c>
      <x:c r="G120" s="82" t="n">
        <x:v>86</x:v>
      </x:c>
      <x:c r="H120" s="82" t="n">
        <x:v>148</x:v>
      </x:c>
      <x:c r="I120" s="82" t="n">
        <x:v>9.4</x:v>
      </x:c>
      <x:c r="J120" s="81" t="n">
        <x:v>580</x:v>
      </x:c>
      <x:c r="K120" s="81" t="n">
        <x:v>7</x:v>
      </x:c>
      <x:c r="L120" s="83" t="n">
        <x:f>MAX(0,MIN(100,100-((F120-1)/(MAX($F$5:$F$265)-1))*100))</x:f>
        <x:v>42.2081352350766</x:v>
      </x:c>
      <x:c r="M120" s="83" t="n">
        <x:f>MAX(0,MIN(100,50+(('Sources &amp; Model'!$B$4-F120)/('Sources &amp; Model'!$B$6*2.5))*45))</x:f>
        <x:v>0</x:v>
      </x:c>
      <x:c r="N120" s="83" t="n">
        <x:f>IF(V120="Mine",0,IF(OR(C120="RB",C120="WR"),MAX(30,62-COUNTIFS($C$5:$C$265,C120,$V$5:$V$265,"Mine")*5),IF(OR(C120="D/ST",C120="K"),IF('Sources &amp; Model'!$B$4&gt;='Sources &amp; Model'!$B$6*('Sources &amp; Model'!$B$8-2),62,12),IF(COUNTIFS($C$5:$C$265,C120,$V$5:$V$265,"Mine")=0,82,38))))</x:f>
        <x:v>62</x:v>
      </x:c>
      <x:c r="O120" s="65" t="n">
        <x:v>51.9</x:v>
      </x:c>
      <x:c r="P120" s="83" t="n">
        <x:f>MAX(0,MIN(100,100/(1+EXP(-(('Sources &amp; Model'!$B$5-F120)/MAX(2.5,I120))))))</x:f>
        <x:v>0.0008821605332811193</x:v>
      </x:c>
      <x:c r="Q120" s="65" t="n">
        <x:v>68</x:v>
      </x:c>
      <x:c r="R120" s="65" t="n">
        <x:v>52</x:v>
      </x:c>
      <x:c r="S120" s="65" t="n">
        <x:v>29.7</x:v>
      </x:c>
      <x:c r="T120" s="65" t="n">
        <x:v>50</x:v>
      </x:c>
      <x:c r="U120" s="84" t="n">
        <x:f>IF(V120&lt;&gt;"Available","",(L120*'Sources &amp; Model'!$B$13+M120*'Sources &amp; Model'!$B$14+N120*'Sources &amp; Model'!$B$15+O120*'Sources &amp; Model'!$B$16+P120*'Sources &amp; Model'!$B$17+Q120*'Sources &amp; Model'!$B$18+R120*'Sources &amp; Model'!$B$19+S120*'Sources &amp; Model'!$B$20+T120*'Sources &amp; Model'!$B$21)/SUM('Sources &amp; Model'!$B$13:$B$21))</x:f>
        <x:v>37.13285419597938</x:v>
      </x:c>
      <x:c r="V120" s="5" t="str">
        <x:v>Available</x:v>
      </x:c>
      <x:c r="W120" t="str">
        <x:v>https://help.fantasyfootballcalculator.com/article/42-adp-rest-api</x:v>
      </x:c>
    </x:row>
    <x:row r="121">
      <x:c r="A121" s="28" t="n">
        <x:v>117</x:v>
      </x:c>
      <x:c r="B121" s="28" t="str">
        <x:v>Ricky Pearsall</x:v>
      </x:c>
      <x:c r="C121" s="28" t="str">
        <x:v>WR</x:v>
      </x:c>
      <x:c r="D121" s="28" t="str">
        <x:v>SF</x:v>
      </x:c>
      <x:c r="E121" s="81" t="n">
        <x:v>8</x:v>
      </x:c>
      <x:c r="F121" s="82" t="n">
        <x:v>112.2</x:v>
      </x:c>
      <x:c r="G121" s="82" t="n">
        <x:v>93</x:v>
      </x:c>
      <x:c r="H121" s="82" t="n">
        <x:v>123</x:v>
      </x:c>
      <x:c r="I121" s="82" t="n">
        <x:v>7.2</x:v>
      </x:c>
      <x:c r="J121" s="81" t="n">
        <x:v>45</x:v>
      </x:c>
      <x:c r="K121" s="81" t="n">
        <x:v>7</x:v>
      </x:c>
      <x:c r="L121" s="83" t="n">
        <x:f>MAX(0,MIN(100,100-((F121-1)/(MAX($F$5:$F$265)-1))*100))</x:f>
        <x:v>41.25726360274696</x:v>
      </x:c>
      <x:c r="M121" s="83" t="n">
        <x:f>MAX(0,MIN(100,50+(('Sources &amp; Model'!$B$4-F121)/('Sources &amp; Model'!$B$6*2.5))*45))</x:f>
        <x:v>0</x:v>
      </x:c>
      <x:c r="N121" s="83" t="n">
        <x:f>IF(V121="Mine",0,IF(OR(C121="RB",C121="WR"),MAX(30,62-COUNTIFS($C$5:$C$265,C121,$V$5:$V$265,"Mine")*5),IF(OR(C121="D/ST",C121="K"),IF('Sources &amp; Model'!$B$4&gt;='Sources &amp; Model'!$B$6*('Sources &amp; Model'!$B$8-2),62,12),IF(COUNTIFS($C$5:$C$265,C121,$V$5:$V$265,"Mine")=0,82,38))))</x:f>
        <x:v>62</x:v>
      </x:c>
      <x:c r="O121" s="65" t="n">
        <x:v>44.2</x:v>
      </x:c>
      <x:c r="P121" s="83" t="n">
        <x:f>MAX(0,MIN(100,100/(1+EXP(-(('Sources &amp; Model'!$B$5-F121)/MAX(2.5,I121))))))</x:f>
        <x:v>0.00001961385302106545</x:v>
      </x:c>
      <x:c r="Q121" s="65" t="n">
        <x:v>10</x:v>
      </x:c>
      <x:c r="R121" s="65" t="n">
        <x:v>6</x:v>
      </x:c>
      <x:c r="S121" s="65" t="n">
        <x:v>39.3</x:v>
      </x:c>
      <x:c r="T121" s="65" t="n">
        <x:v>50</x:v>
      </x:c>
      <x:c r="U121" s="84" t="n">
        <x:f>IF(V121&lt;&gt;"Available","",(L121*'Sources &amp; Model'!$B$13+M121*'Sources &amp; Model'!$B$14+N121*'Sources &amp; Model'!$B$15+O121*'Sources &amp; Model'!$B$16+P121*'Sources &amp; Model'!$B$17+Q121*'Sources &amp; Model'!$B$18+R121*'Sources &amp; Model'!$B$19+S121*'Sources &amp; Model'!$B$20+T121*'Sources &amp; Model'!$B$21)/SUM('Sources &amp; Model'!$B$13:$B$21))</x:f>
        <x:v>30.757471586319266</x:v>
      </x:c>
      <x:c r="V121" s="5" t="str">
        <x:v>Available</x:v>
      </x:c>
      <x:c r="W121" t="str">
        <x:v>https://help.fantasyfootballcalculator.com/article/42-adp-rest-api</x:v>
      </x:c>
    </x:row>
    <x:row r="122">
      <x:c r="A122" s="28" t="n">
        <x:v>118</x:v>
      </x:c>
      <x:c r="B122" s="28" t="str">
        <x:v>Romeo Doubs</x:v>
      </x:c>
      <x:c r="C122" s="28" t="str">
        <x:v>WR</x:v>
      </x:c>
      <x:c r="D122" s="28" t="str">
        <x:v>NE</x:v>
      </x:c>
      <x:c r="E122" s="81" t="n">
        <x:v>11</x:v>
      </x:c>
      <x:c r="F122" s="82" t="n">
        <x:v>112.6</x:v>
      </x:c>
      <x:c r="G122" s="82" t="n">
        <x:v>84</x:v>
      </x:c>
      <x:c r="H122" s="82" t="n">
        <x:v>150</x:v>
      </x:c>
      <x:c r="I122" s="82" t="n">
        <x:v>10.8</x:v>
      </x:c>
      <x:c r="J122" s="81" t="n">
        <x:v>352</x:v>
      </x:c>
      <x:c r="K122" s="81" t="n">
        <x:v>7</x:v>
      </x:c>
      <x:c r="L122" s="83" t="n">
        <x:f>MAX(0,MIN(100,100-((F122-1)/(MAX($F$5:$F$265)-1))*100))</x:f>
        <x:v>41.04595879556261</x:v>
      </x:c>
      <x:c r="M122" s="83" t="n">
        <x:f>MAX(0,MIN(100,50+(('Sources &amp; Model'!$B$4-F122)/('Sources &amp; Model'!$B$6*2.5))*45))</x:f>
        <x:v>0</x:v>
      </x:c>
      <x:c r="N122" s="83" t="n">
        <x:f>IF(V122="Mine",0,IF(OR(C122="RB",C122="WR"),MAX(30,62-COUNTIFS($C$5:$C$265,C122,$V$5:$V$265,"Mine")*5),IF(OR(C122="D/ST",C122="K"),IF('Sources &amp; Model'!$B$4&gt;='Sources &amp; Model'!$B$6*('Sources &amp; Model'!$B$8-2),62,12),IF(COUNTIFS($C$5:$C$265,C122,$V$5:$V$265,"Mine")=0,82,38))))</x:f>
        <x:v>62</x:v>
      </x:c>
      <x:c r="O122" s="65" t="n">
        <x:v>76.7</x:v>
      </x:c>
      <x:c r="P122" s="83" t="n">
        <x:f>MAX(0,MIN(100,100/(1+EXP(-(('Sources &amp; Model'!$B$5-F122)/MAX(2.5,I122))))))</x:f>
        <x:v>0.0032529412975540223</x:v>
      </x:c>
      <x:c r="Q122" s="65" t="n">
        <x:v>68</x:v>
      </x:c>
      <x:c r="R122" s="65" t="n">
        <x:v>92</x:v>
      </x:c>
      <x:c r="S122" s="65" t="n">
        <x:v>40.6</x:v>
      </x:c>
      <x:c r="T122" s="65" t="n">
        <x:v>49.9</x:v>
      </x:c>
      <x:c r="U122" s="84" t="n">
        <x:f>IF(V122&lt;&gt;"Available","",(L122*'Sources &amp; Model'!$B$13+M122*'Sources &amp; Model'!$B$14+N122*'Sources &amp; Model'!$B$15+O122*'Sources &amp; Model'!$B$16+P122*'Sources &amp; Model'!$B$17+Q122*'Sources &amp; Model'!$B$18+R122*'Sources &amp; Model'!$B$19+S122*'Sources &amp; Model'!$B$20+T122*'Sources &amp; Model'!$B$21)/SUM('Sources &amp; Model'!$B$13:$B$21))</x:f>
        <x:v>41.53095128462104</x:v>
      </x:c>
      <x:c r="V122" s="5" t="str">
        <x:v>Available</x:v>
      </x:c>
      <x:c r="W122" t="str">
        <x:v>https://help.fantasyfootballcalculator.com/article/42-adp-rest-api</x:v>
      </x:c>
    </x:row>
    <x:row r="123">
      <x:c r="A123" s="28" t="n">
        <x:v>119</x:v>
      </x:c>
      <x:c r="B123" s="28" t="str">
        <x:v>Jacory Croskey-Merritt</x:v>
      </x:c>
      <x:c r="C123" s="28" t="str">
        <x:v>RB</x:v>
      </x:c>
      <x:c r="D123" s="28" t="str">
        <x:v>WAS</x:v>
      </x:c>
      <x:c r="E123" s="81" t="n">
        <x:v>7</x:v>
      </x:c>
      <x:c r="F123" s="82" t="n">
        <x:v>113.6</x:v>
      </x:c>
      <x:c r="G123" s="82" t="n">
        <x:v>72</x:v>
      </x:c>
      <x:c r="H123" s="82" t="n">
        <x:v>150</x:v>
      </x:c>
      <x:c r="I123" s="82" t="n">
        <x:v>15.8</x:v>
      </x:c>
      <x:c r="J123" s="81" t="n">
        <x:v>745</x:v>
      </x:c>
      <x:c r="K123" s="81" t="n">
        <x:v>6</x:v>
      </x:c>
      <x:c r="L123" s="83" t="n">
        <x:f>MAX(0,MIN(100,100-((F123-1)/(MAX($F$5:$F$265)-1))*100))</x:f>
        <x:v>40.5176967776017</x:v>
      </x:c>
      <x:c r="M123" s="83" t="n">
        <x:f>MAX(0,MIN(100,50+(('Sources &amp; Model'!$B$4-F123)/('Sources &amp; Model'!$B$6*2.5))*45))</x:f>
        <x:v>0</x:v>
      </x:c>
      <x:c r="N123" s="83" t="n">
        <x:f>IF(V123="Mine",0,IF(OR(C123="RB",C123="WR"),MAX(30,62-COUNTIFS($C$5:$C$265,C123,$V$5:$V$265,"Mine")*5),IF(OR(C123="D/ST",C123="K"),IF('Sources &amp; Model'!$B$4&gt;='Sources &amp; Model'!$B$6*('Sources &amp; Model'!$B$8-2),62,12),IF(COUNTIFS($C$5:$C$265,C123,$V$5:$V$265,"Mine")=0,82,38))))</x:f>
        <x:v>62</x:v>
      </x:c>
      <x:c r="O123" s="65" t="n">
        <x:v>95.9</x:v>
      </x:c>
      <x:c r="P123" s="83" t="n">
        <x:f>MAX(0,MIN(100,100/(1+EXP(-(('Sources &amp; Model'!$B$5-F123)/MAX(2.5,I123))))))</x:f>
        <x:v>0.08028156743875853</x:v>
      </x:c>
      <x:c r="Q123" s="65" t="n">
        <x:v>90</x:v>
      </x:c>
      <x:c r="R123" s="65" t="n">
        <x:v>92</x:v>
      </x:c>
      <x:c r="S123" s="65" t="n">
        <x:v>41.1</x:v>
      </x:c>
      <x:c r="T123" s="65" t="n">
        <x:v>50</x:v>
      </x:c>
      <x:c r="U123" s="84" t="n">
        <x:f>IF(V123&lt;&gt;"Available","",(L123*'Sources &amp; Model'!$B$13+M123*'Sources &amp; Model'!$B$14+N123*'Sources &amp; Model'!$B$15+O123*'Sources &amp; Model'!$B$16+P123*'Sources &amp; Model'!$B$17+Q123*'Sources &amp; Model'!$B$18+R123*'Sources &amp; Model'!$B$19+S123*'Sources &amp; Model'!$B$20+T123*'Sources &amp; Model'!$B$21)/SUM('Sources &amp; Model'!$B$13:$B$21))</x:f>
        <x:v>44.99404506112845</x:v>
      </x:c>
      <x:c r="V123" s="5" t="str">
        <x:v>Available</x:v>
      </x:c>
      <x:c r="W123" t="str">
        <x:v>https://help.fantasyfootballcalculator.com/article/42-adp-rest-api</x:v>
      </x:c>
    </x:row>
    <x:row r="124">
      <x:c r="A124" s="28" t="n">
        <x:v>120</x:v>
      </x:c>
      <x:c r="B124" s="28" t="str">
        <x:v>George Kittle</x:v>
      </x:c>
      <x:c r="C124" s="28" t="str">
        <x:v>TE</x:v>
      </x:c>
      <x:c r="D124" s="28" t="str">
        <x:v>SF</x:v>
      </x:c>
      <x:c r="E124" s="81" t="n">
        <x:v>8</x:v>
      </x:c>
      <x:c r="F124" s="82" t="n">
        <x:v>113.9</x:v>
      </x:c>
      <x:c r="G124" s="82" t="n">
        <x:v>67</x:v>
      </x:c>
      <x:c r="H124" s="82" t="n">
        <x:v>157</x:v>
      </x:c>
      <x:c r="I124" s="82" t="n">
        <x:v>18</x:v>
      </x:c>
      <x:c r="J124" s="81" t="n">
        <x:v>543</x:v>
      </x:c>
      <x:c r="K124" s="81" t="n">
        <x:v>4</x:v>
      </x:c>
      <x:c r="L124" s="83" t="n">
        <x:f>MAX(0,MIN(100,100-((F124-1)/(MAX($F$5:$F$265)-1))*100))</x:f>
        <x:v>40.35921817221342</x:v>
      </x:c>
      <x:c r="M124" s="83" t="n">
        <x:f>MAX(0,MIN(100,50+(('Sources &amp; Model'!$B$4-F124)/('Sources &amp; Model'!$B$6*2.5))*45))</x:f>
        <x:v>0</x:v>
      </x:c>
      <x:c r="N124" s="83" t="n">
        <x:f>IF(V124="Mine",0,IF(OR(C124="RB",C124="WR"),MAX(30,62-COUNTIFS($C$5:$C$265,C124,$V$5:$V$265,"Mine")*5),IF(OR(C124="D/ST",C124="K"),IF('Sources &amp; Model'!$B$4&gt;='Sources &amp; Model'!$B$6*('Sources &amp; Model'!$B$8-2),62,12),IF(COUNTIFS($C$5:$C$265,C124,$V$5:$V$265,"Mine")=0,82,38))))</x:f>
        <x:v>82</x:v>
      </x:c>
      <x:c r="O124" s="65" t="n">
        <x:v>51.9</x:v>
      </x:c>
      <x:c r="P124" s="83" t="n">
        <x:f>MAX(0,MIN(100,100/(1+EXP(-(('Sources &amp; Model'!$B$5-F124)/MAX(2.5,I124))))))</x:f>
        <x:v>0.18844703661323509</x:v>
      </x:c>
      <x:c r="Q124" s="65" t="n">
        <x:v>90</x:v>
      </x:c>
      <x:c r="R124" s="65" t="n">
        <x:v>6</x:v>
      </x:c>
      <x:c r="S124" s="65" t="n">
        <x:v>39.3</x:v>
      </x:c>
      <x:c r="T124" s="65" t="n">
        <x:v>49.9</x:v>
      </x:c>
      <x:c r="U124" s="84" t="n">
        <x:f>IF(V124&lt;&gt;"Available","",(L124*'Sources &amp; Model'!$B$13+M124*'Sources &amp; Model'!$B$14+N124*'Sources &amp; Model'!$B$15+O124*'Sources &amp; Model'!$B$16+P124*'Sources &amp; Model'!$B$17+Q124*'Sources &amp; Model'!$B$18+R124*'Sources &amp; Model'!$B$19+S124*'Sources &amp; Model'!$B$20+T124*'Sources &amp; Model'!$B$21)/SUM('Sources &amp; Model'!$B$13:$B$21))</x:f>
        <x:v>39.193978882213884</x:v>
      </x:c>
      <x:c r="V124" s="5" t="str">
        <x:v>Available</x:v>
      </x:c>
      <x:c r="W124" t="str">
        <x:v>https://help.fantasyfootballcalculator.com/article/42-adp-rest-api</x:v>
      </x:c>
    </x:row>
    <x:row r="125">
      <x:c r="A125" s="28" t="n">
        <x:v>121</x:v>
      </x:c>
      <x:c r="B125" s="28" t="str">
        <x:v>Dallas Goedert</x:v>
      </x:c>
      <x:c r="C125" s="28" t="str">
        <x:v>TE</x:v>
      </x:c>
      <x:c r="D125" s="28" t="str">
        <x:v>PHI</x:v>
      </x:c>
      <x:c r="E125" s="81" t="n">
        <x:v>10</x:v>
      </x:c>
      <x:c r="F125" s="82" t="n">
        <x:v>115.7</x:v>
      </x:c>
      <x:c r="G125" s="82" t="n">
        <x:v>68</x:v>
      </x:c>
      <x:c r="H125" s="82" t="n">
        <x:v>157</x:v>
      </x:c>
      <x:c r="I125" s="82" t="n">
        <x:v>18.4</x:v>
      </x:c>
      <x:c r="J125" s="81" t="n">
        <x:v>275</x:v>
      </x:c>
      <x:c r="K125" s="81" t="n">
        <x:v>4</x:v>
      </x:c>
      <x:c r="L125" s="83" t="n">
        <x:f>MAX(0,MIN(100,100-((F125-1)/(MAX($F$5:$F$265)-1))*100))</x:f>
        <x:v>39.40834653988379</x:v>
      </x:c>
      <x:c r="M125" s="83" t="n">
        <x:f>MAX(0,MIN(100,50+(('Sources &amp; Model'!$B$4-F125)/('Sources &amp; Model'!$B$6*2.5))*45))</x:f>
        <x:v>0</x:v>
      </x:c>
      <x:c r="N125" s="83" t="n">
        <x:f>IF(V125="Mine",0,IF(OR(C125="RB",C125="WR"),MAX(30,62-COUNTIFS($C$5:$C$265,C125,$V$5:$V$265,"Mine")*5),IF(OR(C125="D/ST",C125="K"),IF('Sources &amp; Model'!$B$4&gt;='Sources &amp; Model'!$B$6*('Sources &amp; Model'!$B$8-2),62,12),IF(COUNTIFS($C$5:$C$265,C125,$V$5:$V$265,"Mine")=0,82,38))))</x:f>
        <x:v>82</x:v>
      </x:c>
      <x:c r="O125" s="65" t="n">
        <x:v>100</x:v>
      </x:c>
      <x:c r="P125" s="83" t="n">
        <x:f>MAX(0,MIN(100,100/(1+EXP(-(('Sources &amp; Model'!$B$5-F125)/MAX(2.5,I125))))))</x:f>
        <x:v>0.19583442826017772</x:v>
      </x:c>
      <x:c r="Q125" s="65" t="n">
        <x:v>90</x:v>
      </x:c>
      <x:c r="R125" s="65" t="n">
        <x:v>92</x:v>
      </x:c>
      <x:c r="S125" s="65" t="n">
        <x:v>29.7</x:v>
      </x:c>
      <x:c r="T125" s="65" t="n">
        <x:v>49.4</x:v>
      </x:c>
      <x:c r="U125" s="84" t="n">
        <x:f>IF(V125&lt;&gt;"Available","",(L125*'Sources &amp; Model'!$B$13+M125*'Sources &amp; Model'!$B$14+N125*'Sources &amp; Model'!$B$15+O125*'Sources &amp; Model'!$B$16+P125*'Sources &amp; Model'!$B$17+Q125*'Sources &amp; Model'!$B$18+R125*'Sources &amp; Model'!$B$19+S125*'Sources &amp; Model'!$B$20+T125*'Sources &amp; Model'!$B$21)/SUM('Sources &amp; Model'!$B$13:$B$21))</x:f>
        <x:v>47.8864212663865</x:v>
      </x:c>
      <x:c r="V125" s="5" t="str">
        <x:v>Available</x:v>
      </x:c>
      <x:c r="W125" t="str">
        <x:v>https://help.fantasyfootballcalculator.com/article/42-adp-rest-api</x:v>
      </x:c>
    </x:row>
    <x:row r="126">
      <x:c r="A126" s="28" t="n">
        <x:v>122</x:v>
      </x:c>
      <x:c r="B126" s="28" t="str">
        <x:v>MIN Defense</x:v>
      </x:c>
      <x:c r="C126" s="28" t="str">
        <x:v>D/ST</x:v>
      </x:c>
      <x:c r="D126" s="28" t="str">
        <x:v>MIN</x:v>
      </x:c>
      <x:c r="E126" s="81" t="n">
        <x:v>6</x:v>
      </x:c>
      <x:c r="F126" s="82" t="n">
        <x:v>115.8</x:v>
      </x:c>
      <x:c r="G126" s="82" t="n">
        <x:v>95</x:v>
      </x:c>
      <x:c r="H126" s="82" t="n">
        <x:v>153</x:v>
      </x:c>
      <x:c r="I126" s="82" t="n">
        <x:v>11.9</x:v>
      </x:c>
      <x:c r="J126" s="81" t="n">
        <x:v>91</x:v>
      </x:c>
      <x:c r="K126" s="81" t="n">
        <x:v>2</x:v>
      </x:c>
      <x:c r="L126" s="83" t="n">
        <x:f>MAX(0,MIN(100,100-((F126-1)/(MAX($F$5:$F$265)-1))*100))</x:f>
        <x:v>39.3555203380877</x:v>
      </x:c>
      <x:c r="M126" s="83" t="n">
        <x:f>MAX(0,MIN(100,50+(('Sources &amp; Model'!$B$4-F126)/('Sources &amp; Model'!$B$6*2.5))*45))</x:f>
        <x:v>0</x:v>
      </x:c>
      <x:c r="N126" s="83" t="n">
        <x:f>IF(V126="Mine",0,IF(OR(C126="RB",C126="WR"),MAX(30,62-COUNTIFS($C$5:$C$265,C126,$V$5:$V$265,"Mine")*5),IF(OR(C126="D/ST",C126="K"),IF('Sources &amp; Model'!$B$4&gt;='Sources &amp; Model'!$B$6*('Sources &amp; Model'!$B$8-2),62,12),IF(COUNTIFS($C$5:$C$265,C126,$V$5:$V$265,"Mine")=0,82,38))))</x:f>
        <x:v>12</x:v>
      </x:c>
      <x:c r="O126" s="65" t="n">
        <x:v>78.9</x:v>
      </x:c>
      <x:c r="P126" s="83" t="n">
        <x:f>MAX(0,MIN(100,100/(1+EXP(-(('Sources &amp; Model'!$B$5-F126)/MAX(2.5,I126))))))</x:f>
        <x:v>0.006461115805542397</x:v>
      </x:c>
      <x:c r="Q126" s="65" t="n">
        <x:v>68</x:v>
      </x:c>
      <x:c r="R126" s="65" t="n">
        <x:v>92</x:v>
      </x:c>
      <x:c r="S126" s="65" t="n">
        <x:v>53.6</x:v>
      </x:c>
      <x:c r="T126" s="65" t="n">
        <x:v>50</x:v>
      </x:c>
      <x:c r="U126" s="84" t="n">
        <x:f>IF(V126&lt;&gt;"Available","",(L126*'Sources &amp; Model'!$B$13+M126*'Sources &amp; Model'!$B$14+N126*'Sources &amp; Model'!$B$15+O126*'Sources &amp; Model'!$B$16+P126*'Sources &amp; Model'!$B$17+Q126*'Sources &amp; Model'!$B$18+R126*'Sources &amp; Model'!$B$19+S126*'Sources &amp; Model'!$B$20+T126*'Sources &amp; Model'!$B$21)/SUM('Sources &amp; Model'!$B$13:$B$21))</x:f>
        <x:v>33.98152302653037</x:v>
      </x:c>
      <x:c r="V126" s="5" t="str">
        <x:v>Available</x:v>
      </x:c>
      <x:c r="W126" t="str">
        <x:v>https://help.fantasyfootballcalculator.com/article/42-adp-rest-api</x:v>
      </x:c>
    </x:row>
    <x:row r="127">
      <x:c r="A127" s="28" t="n">
        <x:v>123</x:v>
      </x:c>
      <x:c r="B127" s="28" t="str">
        <x:v>Bo Nix</x:v>
      </x:c>
      <x:c r="C127" s="28" t="str">
        <x:v>QB</x:v>
      </x:c>
      <x:c r="D127" s="28" t="str">
        <x:v>DEN</x:v>
      </x:c>
      <x:c r="E127" s="81" t="n">
        <x:v>10</x:v>
      </x:c>
      <x:c r="F127" s="82" t="n">
        <x:v>118.9</x:v>
      </x:c>
      <x:c r="G127" s="82" t="n">
        <x:v>86</x:v>
      </x:c>
      <x:c r="H127" s="82" t="n">
        <x:v>150</x:v>
      </x:c>
      <x:c r="I127" s="82" t="n">
        <x:v>12.3</x:v>
      </x:c>
      <x:c r="J127" s="81" t="n">
        <x:v>519</x:v>
      </x:c>
      <x:c r="K127" s="81" t="n">
        <x:v>5</x:v>
      </x:c>
      <x:c r="L127" s="83" t="n">
        <x:f>MAX(0,MIN(100,100-((F127-1)/(MAX($F$5:$F$265)-1))*100))</x:f>
        <x:v>37.71790808240888</x:v>
      </x:c>
      <x:c r="M127" s="83" t="n">
        <x:f>MAX(0,MIN(100,50+(('Sources &amp; Model'!$B$4-F127)/('Sources &amp; Model'!$B$6*2.5))*45))</x:f>
        <x:v>0</x:v>
      </x:c>
      <x:c r="N127" s="83" t="n">
        <x:f>IF(V127="Mine",0,IF(OR(C127="RB",C127="WR"),MAX(30,62-COUNTIFS($C$5:$C$265,C127,$V$5:$V$265,"Mine")*5),IF(OR(C127="D/ST",C127="K"),IF('Sources &amp; Model'!$B$4&gt;='Sources &amp; Model'!$B$6*('Sources &amp; Model'!$B$8-2),62,12),IF(COUNTIFS($C$5:$C$265,C127,$V$5:$V$265,"Mine")=0,82,38))))</x:f>
        <x:v>82</x:v>
      </x:c>
      <x:c r="O127" s="65" t="n">
        <x:v>99.8</x:v>
      </x:c>
      <x:c r="P127" s="83" t="n">
        <x:f>MAX(0,MIN(100,100/(1+EXP(-(('Sources &amp; Model'!$B$5-F127)/MAX(2.5,I127))))))</x:f>
        <x:v>0.006872245347250734</x:v>
      </x:c>
      <x:c r="Q127" s="65" t="n">
        <x:v>90</x:v>
      </x:c>
      <x:c r="R127" s="65" t="n">
        <x:v>92</x:v>
      </x:c>
      <x:c r="S127" s="65" t="n">
        <x:v>36.9</x:v>
      </x:c>
      <x:c r="T127" s="65" t="n">
        <x:v>50.4</x:v>
      </x:c>
      <x:c r="U127" s="84" t="n">
        <x:f>IF(V127&lt;&gt;"Available","",(L127*'Sources &amp; Model'!$B$13+M127*'Sources &amp; Model'!$B$14+N127*'Sources &amp; Model'!$B$15+O127*'Sources &amp; Model'!$B$16+P127*'Sources &amp; Model'!$B$17+Q127*'Sources &amp; Model'!$B$18+R127*'Sources &amp; Model'!$B$19+S127*'Sources &amp; Model'!$B$20+T127*'Sources &amp; Model'!$B$21)/SUM('Sources &amp; Model'!$B$13:$B$21))</x:f>
        <x:v>47.422775972553744</x:v>
      </x:c>
      <x:c r="V127" s="5" t="str">
        <x:v>Available</x:v>
      </x:c>
      <x:c r="W127" t="str">
        <x:v>https://help.fantasyfootballcalculator.com/article/42-adp-rest-api</x:v>
      </x:c>
    </x:row>
    <x:row r="128">
      <x:c r="A128" s="28" t="n">
        <x:v>124</x:v>
      </x:c>
      <x:c r="B128" s="28" t="str">
        <x:v>Matthew Golden</x:v>
      </x:c>
      <x:c r="C128" s="28" t="str">
        <x:v>WR</x:v>
      </x:c>
      <x:c r="D128" s="28" t="str">
        <x:v>GB</x:v>
      </x:c>
      <x:c r="E128" s="81" t="n">
        <x:v>11</x:v>
      </x:c>
      <x:c r="F128" s="82" t="n">
        <x:v>118.9</x:v>
      </x:c>
      <x:c r="G128" s="82" t="n">
        <x:v>89</x:v>
      </x:c>
      <x:c r="H128" s="82" t="n">
        <x:v>149</x:v>
      </x:c>
      <x:c r="I128" s="82" t="n">
        <x:v>11.1</x:v>
      </x:c>
      <x:c r="J128" s="81" t="n">
        <x:v>626</x:v>
      </x:c>
      <x:c r="K128" s="81" t="n">
        <x:v>7</x:v>
      </x:c>
      <x:c r="L128" s="83" t="n">
        <x:f>MAX(0,MIN(100,100-((F128-1)/(MAX($F$5:$F$265)-1))*100))</x:f>
        <x:v>37.71790808240888</x:v>
      </x:c>
      <x:c r="M128" s="83" t="n">
        <x:f>MAX(0,MIN(100,50+(('Sources &amp; Model'!$B$4-F128)/('Sources &amp; Model'!$B$6*2.5))*45))</x:f>
        <x:v>0</x:v>
      </x:c>
      <x:c r="N128" s="83" t="n">
        <x:f>IF(V128="Mine",0,IF(OR(C128="RB",C128="WR"),MAX(30,62-COUNTIFS($C$5:$C$265,C128,$V$5:$V$265,"Mine")*5),IF(OR(C128="D/ST",C128="K"),IF('Sources &amp; Model'!$B$4&gt;='Sources &amp; Model'!$B$6*('Sources &amp; Model'!$B$8-2),62,12),IF(COUNTIFS($C$5:$C$265,C128,$V$5:$V$265,"Mine")=0,82,38))))</x:f>
        <x:v>62</x:v>
      </x:c>
      <x:c r="O128" s="65" t="n">
        <x:v>59</x:v>
      </x:c>
      <x:c r="P128" s="83" t="n">
        <x:f>MAX(0,MIN(100,100/(1+EXP(-(('Sources &amp; Model'!$B$5-F128)/MAX(2.5,I128))))))</x:f>
        <x:v>0.0024382472977094644</x:v>
      </x:c>
      <x:c r="Q128" s="65" t="n">
        <x:v>50</x:v>
      </x:c>
      <x:c r="R128" s="65" t="n">
        <x:v>92</x:v>
      </x:c>
      <x:c r="S128" s="65" t="n">
        <x:v>41.8</x:v>
      </x:c>
      <x:c r="T128" s="65" t="n">
        <x:v>50</x:v>
      </x:c>
      <x:c r="U128" s="84" t="n">
        <x:f>IF(V128&lt;&gt;"Available","",(L128*'Sources &amp; Model'!$B$13+M128*'Sources &amp; Model'!$B$14+N128*'Sources &amp; Model'!$B$15+O128*'Sources &amp; Model'!$B$16+P128*'Sources &amp; Model'!$B$17+Q128*'Sources &amp; Model'!$B$18+R128*'Sources &amp; Model'!$B$19+S128*'Sources &amp; Model'!$B$20+T128*'Sources &amp; Model'!$B$21)/SUM('Sources &amp; Model'!$B$13:$B$21))</x:f>
        <x:v>37.22033257274879</x:v>
      </x:c>
      <x:c r="V128" s="5" t="str">
        <x:v>Available</x:v>
      </x:c>
      <x:c r="W128" t="str">
        <x:v>https://help.fantasyfootballcalculator.com/article/42-adp-rest-api</x:v>
      </x:c>
    </x:row>
    <x:row r="129">
      <x:c r="A129" s="28" t="n">
        <x:v>125</x:v>
      </x:c>
      <x:c r="B129" s="28" t="str">
        <x:v>John Metchie</x:v>
      </x:c>
      <x:c r="C129" s="28" t="str">
        <x:v>WR</x:v>
      </x:c>
      <x:c r="D129" s="28" t="str">
        <x:v>CAR</x:v>
      </x:c>
      <x:c r="E129" s="81" t="n">
        <x:v>5</x:v>
      </x:c>
      <x:c r="F129" s="82" t="n">
        <x:v>122</x:v>
      </x:c>
      <x:c r="G129" s="82" t="n">
        <x:v>113</x:v>
      </x:c>
      <x:c r="H129" s="82" t="n">
        <x:v>162</x:v>
      </x:c>
      <x:c r="I129" s="82" t="n">
        <x:v>9.7</x:v>
      </x:c>
      <x:c r="J129" s="81" t="n">
        <x:v>38</x:v>
      </x:c>
      <x:c r="K129" s="81" t="n">
        <x:v>7</x:v>
      </x:c>
      <x:c r="L129" s="83" t="n">
        <x:f>MAX(0,MIN(100,100-((F129-1)/(MAX($F$5:$F$265)-1))*100))</x:f>
        <x:v>36.08029582673006</x:v>
      </x:c>
      <x:c r="M129" s="83" t="n">
        <x:f>MAX(0,MIN(100,50+(('Sources &amp; Model'!$B$4-F129)/('Sources &amp; Model'!$B$6*2.5))*45))</x:f>
        <x:v>0</x:v>
      </x:c>
      <x:c r="N129" s="83" t="n">
        <x:f>IF(V129="Mine",0,IF(OR(C129="RB",C129="WR"),MAX(30,62-COUNTIFS($C$5:$C$265,C129,$V$5:$V$265,"Mine")*5),IF(OR(C129="D/ST",C129="K"),IF('Sources &amp; Model'!$B$4&gt;='Sources &amp; Model'!$B$6*('Sources &amp; Model'!$B$8-2),62,12),IF(COUNTIFS($C$5:$C$265,C129,$V$5:$V$265,"Mine")=0,82,38))))</x:f>
        <x:v>62</x:v>
      </x:c>
      <x:c r="O129" s="65" t="n">
        <x:v>54.6</x:v>
      </x:c>
      <x:c r="P129" s="83" t="n">
        <x:f>MAX(0,MIN(100,100/(1+EXP(-(('Sources &amp; Model'!$B$5-F129)/MAX(2.5,I129))))))</x:f>
        <x:v>0.0003823934742885386</x:v>
      </x:c>
      <x:c r="Q129" s="65" t="n">
        <x:v>35</x:v>
      </x:c>
      <x:c r="R129" s="65" t="n">
        <x:v>92</x:v>
      </x:c>
      <x:c r="S129" s="65" t="n">
        <x:v>43.9</x:v>
      </x:c>
      <x:c r="T129" s="65" t="n">
        <x:v>50.1</x:v>
      </x:c>
      <x:c r="U129" s="84" t="n">
        <x:f>IF(V129&lt;&gt;"Available","",(L129*'Sources &amp; Model'!$B$13+M129*'Sources &amp; Model'!$B$14+N129*'Sources &amp; Model'!$B$15+O129*'Sources &amp; Model'!$B$16+P129*'Sources &amp; Model'!$B$17+Q129*'Sources &amp; Model'!$B$18+R129*'Sources &amp; Model'!$B$19+S129*'Sources &amp; Model'!$B$20+T129*'Sources &amp; Model'!$B$21)/SUM('Sources &amp; Model'!$B$13:$B$21))</x:f>
        <x:v>35.27833882043565</x:v>
      </x:c>
      <x:c r="V129" s="5" t="str">
        <x:v>Available</x:v>
      </x:c>
      <x:c r="W129" t="str">
        <x:v>https://help.fantasyfootballcalculator.com/article/42-adp-rest-api</x:v>
      </x:c>
    </x:row>
    <x:row r="130">
      <x:c r="A130" s="28" t="n">
        <x:v>126</x:v>
      </x:c>
      <x:c r="B130" s="28" t="str">
        <x:v>LAR Defense</x:v>
      </x:c>
      <x:c r="C130" s="28" t="str">
        <x:v>D/ST</x:v>
      </x:c>
      <x:c r="D130" s="28" t="str">
        <x:v>LAR</x:v>
      </x:c>
      <x:c r="E130" s="81" t="n">
        <x:v>11</x:v>
      </x:c>
      <x:c r="F130" s="82" t="n">
        <x:v>122.5</x:v>
      </x:c>
      <x:c r="G130" s="82" t="n">
        <x:v>67</x:v>
      </x:c>
      <x:c r="H130" s="82" t="n">
        <x:v>180</x:v>
      </x:c>
      <x:c r="I130" s="82" t="n">
        <x:v>21.2</x:v>
      </x:c>
      <x:c r="J130" s="81" t="n">
        <x:v>690</x:v>
      </x:c>
      <x:c r="K130" s="81" t="n">
        <x:v>2</x:v>
      </x:c>
      <x:c r="L130" s="83" t="n">
        <x:f>MAX(0,MIN(100,100-((F130-1)/(MAX($F$5:$F$265)-1))*100))</x:f>
        <x:v>35.81616481774961</x:v>
      </x:c>
      <x:c r="M130" s="83" t="n">
        <x:f>MAX(0,MIN(100,50+(('Sources &amp; Model'!$B$4-F130)/('Sources &amp; Model'!$B$6*2.5))*45))</x:f>
        <x:v>0</x:v>
      </x:c>
      <x:c r="N130" s="83" t="n">
        <x:f>IF(V130="Mine",0,IF(OR(C130="RB",C130="WR"),MAX(30,62-COUNTIFS($C$5:$C$265,C130,$V$5:$V$265,"Mine")*5),IF(OR(C130="D/ST",C130="K"),IF('Sources &amp; Model'!$B$4&gt;='Sources &amp; Model'!$B$6*('Sources &amp; Model'!$B$8-2),62,12),IF(COUNTIFS($C$5:$C$265,C130,$V$5:$V$265,"Mine")=0,82,38))))</x:f>
        <x:v>12</x:v>
      </x:c>
      <x:c r="O130" s="65" t="n">
        <x:v>80</x:v>
      </x:c>
      <x:c r="P130" s="83" t="n">
        <x:f>MAX(0,MIN(100,100/(1+EXP(-(('Sources &amp; Model'!$B$5-F130)/MAX(2.5,I130))))))</x:f>
        <x:v>0.3232917720800143</x:v>
      </x:c>
      <x:c r="Q130" s="65" t="n">
        <x:v>68</x:v>
      </x:c>
      <x:c r="R130" s="65" t="n">
        <x:v>92</x:v>
      </x:c>
      <x:c r="S130" s="65" t="n">
        <x:v>45.2</x:v>
      </x:c>
      <x:c r="T130" s="65" t="n">
        <x:v>50</x:v>
      </x:c>
      <x:c r="U130" s="84" t="n">
        <x:f>IF(V130&lt;&gt;"Available","",(L130*'Sources &amp; Model'!$B$13+M130*'Sources &amp; Model'!$B$14+N130*'Sources &amp; Model'!$B$15+O130*'Sources &amp; Model'!$B$16+P130*'Sources &amp; Model'!$B$17+Q130*'Sources &amp; Model'!$B$18+R130*'Sources &amp; Model'!$B$19+S130*'Sources &amp; Model'!$B$20+T130*'Sources &amp; Model'!$B$21)/SUM('Sources &amp; Model'!$B$13:$B$21))</x:f>
        <x:v>32.77382521524287</x:v>
      </x:c>
      <x:c r="V130" s="5" t="str">
        <x:v>Available</x:v>
      </x:c>
      <x:c r="W130" t="str">
        <x:v>https://help.fantasyfootballcalculator.com/article/42-adp-rest-api</x:v>
      </x:c>
    </x:row>
    <x:row r="131">
      <x:c r="A131" s="28" t="n">
        <x:v>127</x:v>
      </x:c>
      <x:c r="B131" s="28" t="str">
        <x:v>Blake Corum</x:v>
      </x:c>
      <x:c r="C131" s="28" t="str">
        <x:v>RB</x:v>
      </x:c>
      <x:c r="D131" s="28" t="str">
        <x:v>LAR</x:v>
      </x:c>
      <x:c r="E131" s="81" t="n">
        <x:v>11</x:v>
      </x:c>
      <x:c r="F131" s="82" t="n">
        <x:v>123.4</x:v>
      </x:c>
      <x:c r="G131" s="82" t="n">
        <x:v>83</x:v>
      </x:c>
      <x:c r="H131" s="82" t="n">
        <x:v>162</x:v>
      </x:c>
      <x:c r="I131" s="82" t="n">
        <x:v>15.5</x:v>
      </x:c>
      <x:c r="J131" s="81" t="n">
        <x:v>1129</x:v>
      </x:c>
      <x:c r="K131" s="81" t="n">
        <x:v>7</x:v>
      </x:c>
      <x:c r="L131" s="83" t="n">
        <x:f>MAX(0,MIN(100,100-((F131-1)/(MAX($F$5:$F$265)-1))*100))</x:f>
        <x:v>35.34072900158479</x:v>
      </x:c>
      <x:c r="M131" s="83" t="n">
        <x:f>MAX(0,MIN(100,50+(('Sources &amp; Model'!$B$4-F131)/('Sources &amp; Model'!$B$6*2.5))*45))</x:f>
        <x:v>0</x:v>
      </x:c>
      <x:c r="N131" s="83" t="n">
        <x:f>IF(V131="Mine",0,IF(OR(C131="RB",C131="WR"),MAX(30,62-COUNTIFS($C$5:$C$265,C131,$V$5:$V$265,"Mine")*5),IF(OR(C131="D/ST",C131="K"),IF('Sources &amp; Model'!$B$4&gt;='Sources &amp; Model'!$B$6*('Sources &amp; Model'!$B$8-2),62,12),IF(COUNTIFS($C$5:$C$265,C131,$V$5:$V$265,"Mine")=0,82,38))))</x:f>
        <x:v>62</x:v>
      </x:c>
      <x:c r="O131" s="65" t="n">
        <x:v>42</x:v>
      </x:c>
      <x:c r="P131" s="83" t="n">
        <x:f>MAX(0,MIN(100,100/(1+EXP(-(('Sources &amp; Model'!$B$5-F131)/MAX(2.5,I131))))))</x:f>
        <x:v>0.03718031294029147</x:v>
      </x:c>
      <x:c r="Q131" s="65" t="n">
        <x:v>68</x:v>
      </x:c>
      <x:c r="R131" s="65" t="n">
        <x:v>92</x:v>
      </x:c>
      <x:c r="S131" s="65" t="n">
        <x:v>45.2</x:v>
      </x:c>
      <x:c r="T131" s="65" t="n">
        <x:v>50</x:v>
      </x:c>
      <x:c r="U131" s="84" t="n">
        <x:f>IF(V131&lt;&gt;"Available","",(L131*'Sources &amp; Model'!$B$13+M131*'Sources &amp; Model'!$B$14+N131*'Sources &amp; Model'!$B$15+O131*'Sources &amp; Model'!$B$16+P131*'Sources &amp; Model'!$B$17+Q131*'Sources &amp; Model'!$B$18+R131*'Sources &amp; Model'!$B$19+S131*'Sources &amp; Model'!$B$20+T131*'Sources &amp; Model'!$B$21)/SUM('Sources &amp; Model'!$B$13:$B$21))</x:f>
        <x:v>35.52356589183286</x:v>
      </x:c>
      <x:c r="V131" s="5" t="str">
        <x:v>Available</x:v>
      </x:c>
      <x:c r="W131" t="str">
        <x:v>https://help.fantasyfootballcalculator.com/article/42-adp-rest-api</x:v>
      </x:c>
    </x:row>
    <x:row r="132">
      <x:c r="A132" s="28" t="n">
        <x:v>128</x:v>
      </x:c>
      <x:c r="B132" s="28" t="str">
        <x:v>Jordan Mason</x:v>
      </x:c>
      <x:c r="C132" s="28" t="str">
        <x:v>RB</x:v>
      </x:c>
      <x:c r="D132" s="28" t="str">
        <x:v>MIN</x:v>
      </x:c>
      <x:c r="E132" s="81" t="n">
        <x:v>6</x:v>
      </x:c>
      <x:c r="F132" s="82" t="n">
        <x:v>123.4</x:v>
      </x:c>
      <x:c r="G132" s="82" t="n">
        <x:v>86</x:v>
      </x:c>
      <x:c r="H132" s="82" t="n">
        <x:v>151</x:v>
      </x:c>
      <x:c r="I132" s="82" t="n">
        <x:v>14.3</x:v>
      </x:c>
      <x:c r="J132" s="81" t="n">
        <x:v>960</x:v>
      </x:c>
      <x:c r="K132" s="81" t="n">
        <x:v>7</x:v>
      </x:c>
      <x:c r="L132" s="83" t="n">
        <x:f>MAX(0,MIN(100,100-((F132-1)/(MAX($F$5:$F$265)-1))*100))</x:f>
        <x:v>35.34072900158479</x:v>
      </x:c>
      <x:c r="M132" s="83" t="n">
        <x:f>MAX(0,MIN(100,50+(('Sources &amp; Model'!$B$4-F132)/('Sources &amp; Model'!$B$6*2.5))*45))</x:f>
        <x:v>0</x:v>
      </x:c>
      <x:c r="N132" s="83" t="n">
        <x:f>IF(V132="Mine",0,IF(OR(C132="RB",C132="WR"),MAX(30,62-COUNTIFS($C$5:$C$265,C132,$V$5:$V$265,"Mine")*5),IF(OR(C132="D/ST",C132="K"),IF('Sources &amp; Model'!$B$4&gt;='Sources &amp; Model'!$B$6*('Sources &amp; Model'!$B$8-2),62,12),IF(COUNTIFS($C$5:$C$265,C132,$V$5:$V$265,"Mine")=0,82,38))))</x:f>
        <x:v>62</x:v>
      </x:c>
      <x:c r="O132" s="65" t="n">
        <x:v>90.4</x:v>
      </x:c>
      <x:c r="P132" s="83" t="n">
        <x:f>MAX(0,MIN(100,100/(1+EXP(-(('Sources &amp; Model'!$B$5-F132)/MAX(2.5,I132))))))</x:f>
        <x:v>0.019168977122341013</x:v>
      </x:c>
      <x:c r="Q132" s="65" t="n">
        <x:v>90</x:v>
      </x:c>
      <x:c r="R132" s="65" t="n">
        <x:v>92</x:v>
      </x:c>
      <x:c r="S132" s="65" t="n">
        <x:v>53.6</x:v>
      </x:c>
      <x:c r="T132" s="65" t="n">
        <x:v>50.4</x:v>
      </x:c>
      <x:c r="U132" s="84" t="n">
        <x:f>IF(V132&lt;&gt;"Available","",(L132*'Sources &amp; Model'!$B$13+M132*'Sources &amp; Model'!$B$14+N132*'Sources &amp; Model'!$B$15+O132*'Sources &amp; Model'!$B$16+P132*'Sources &amp; Model'!$B$17+Q132*'Sources &amp; Model'!$B$18+R132*'Sources &amp; Model'!$B$19+S132*'Sources &amp; Model'!$B$20+T132*'Sources &amp; Model'!$B$21)/SUM('Sources &amp; Model'!$B$13:$B$21))</x:f>
        <x:v>42.82176475825106</x:v>
      </x:c>
      <x:c r="V132" s="5" t="str">
        <x:v>Available</x:v>
      </x:c>
      <x:c r="W132" t="str">
        <x:v>https://help.fantasyfootballcalculator.com/article/42-adp-rest-api</x:v>
      </x:c>
    </x:row>
    <x:row r="133">
      <x:c r="A133" s="28" t="n">
        <x:v>129</x:v>
      </x:c>
      <x:c r="B133" s="28" t="str">
        <x:v>Jalen Coker</x:v>
      </x:c>
      <x:c r="C133" s="28" t="str">
        <x:v>WR</x:v>
      </x:c>
      <x:c r="D133" s="28" t="str">
        <x:v>CAR</x:v>
      </x:c>
      <x:c r="E133" s="81" t="n">
        <x:v>5</x:v>
      </x:c>
      <x:c r="F133" s="82" t="n">
        <x:v>124.3</x:v>
      </x:c>
      <x:c r="G133" s="82" t="n">
        <x:v>96</x:v>
      </x:c>
      <x:c r="H133" s="82" t="n">
        <x:v>148</x:v>
      </x:c>
      <x:c r="I133" s="82" t="n">
        <x:v>10.7</x:v>
      </x:c>
      <x:c r="J133" s="81" t="n">
        <x:v>274</x:v>
      </x:c>
      <x:c r="K133" s="81" t="n">
        <x:v>7</x:v>
      </x:c>
      <x:c r="L133" s="83" t="n">
        <x:f>MAX(0,MIN(100,100-((F133-1)/(MAX($F$5:$F$265)-1))*100))</x:f>
        <x:v>34.86529318541997</x:v>
      </x:c>
      <x:c r="M133" s="83" t="n">
        <x:f>MAX(0,MIN(100,50+(('Sources &amp; Model'!$B$4-F133)/('Sources &amp; Model'!$B$6*2.5))*45))</x:f>
        <x:v>0</x:v>
      </x:c>
      <x:c r="N133" s="83" t="n">
        <x:f>IF(V133="Mine",0,IF(OR(C133="RB",C133="WR"),MAX(30,62-COUNTIFS($C$5:$C$265,C133,$V$5:$V$265,"Mine")*5),IF(OR(C133="D/ST",C133="K"),IF('Sources &amp; Model'!$B$4&gt;='Sources &amp; Model'!$B$6*('Sources &amp; Model'!$B$8-2),62,12),IF(COUNTIFS($C$5:$C$265,C133,$V$5:$V$265,"Mine")=0,82,38))))</x:f>
        <x:v>62</x:v>
      </x:c>
      <x:c r="O133" s="65" t="n">
        <x:v>56.3</x:v>
      </x:c>
      <x:c r="P133" s="83" t="n">
        <x:f>MAX(0,MIN(100,100/(1+EXP(-(('Sources &amp; Model'!$B$5-F133)/MAX(2.5,I133))))))</x:f>
        <x:v>0.0009896054831799652</x:v>
      </x:c>
      <x:c r="Q133" s="65" t="n">
        <x:v>68</x:v>
      </x:c>
      <x:c r="R133" s="65" t="n">
        <x:v>92</x:v>
      </x:c>
      <x:c r="S133" s="65" t="n">
        <x:v>43.9</x:v>
      </x:c>
      <x:c r="T133" s="65" t="n">
        <x:v>50</x:v>
      </x:c>
      <x:c r="U133" s="84" t="n">
        <x:f>IF(V133&lt;&gt;"Available","",(L133*'Sources &amp; Model'!$B$13+M133*'Sources &amp; Model'!$B$14+N133*'Sources &amp; Model'!$B$15+O133*'Sources &amp; Model'!$B$16+P133*'Sources &amp; Model'!$B$17+Q133*'Sources &amp; Model'!$B$18+R133*'Sources &amp; Model'!$B$19+S133*'Sources &amp; Model'!$B$20+T133*'Sources &amp; Model'!$B$21)/SUM('Sources &amp; Model'!$B$13:$B$21))</x:f>
        <x:v>37.0482986435911</x:v>
      </x:c>
      <x:c r="V133" s="5" t="str">
        <x:v>Available</x:v>
      </x:c>
      <x:c r="W133" t="str">
        <x:v>https://help.fantasyfootballcalculator.com/article/42-adp-rest-api</x:v>
      </x:c>
    </x:row>
    <x:row r="134">
      <x:c r="A134" s="28" t="n">
        <x:v>130</x:v>
      </x:c>
      <x:c r="B134" s="28" t="str">
        <x:v>Rashid Shaheed</x:v>
      </x:c>
      <x:c r="C134" s="28" t="str">
        <x:v>WR</x:v>
      </x:c>
      <x:c r="D134" s="28" t="str">
        <x:v>SEA</x:v>
      </x:c>
      <x:c r="E134" s="81" t="n">
        <x:v>11</x:v>
      </x:c>
      <x:c r="F134" s="82" t="n">
        <x:v>126.9</x:v>
      </x:c>
      <x:c r="G134" s="82" t="n">
        <x:v>98</x:v>
      </x:c>
      <x:c r="H134" s="82" t="n">
        <x:v>150</x:v>
      </x:c>
      <x:c r="I134" s="82" t="n">
        <x:v>10.9</x:v>
      </x:c>
      <x:c r="J134" s="81" t="n">
        <x:v>440</x:v>
      </x:c>
      <x:c r="K134" s="81" t="n">
        <x:v>8</x:v>
      </x:c>
      <x:c r="L134" s="83" t="n">
        <x:f>MAX(0,MIN(100,100-((F134-1)/(MAX($F$5:$F$265)-1))*100))</x:f>
        <x:v>33.49181193872161</x:v>
      </x:c>
      <x:c r="M134" s="83" t="n">
        <x:f>MAX(0,MIN(100,50+(('Sources &amp; Model'!$B$4-F134)/('Sources &amp; Model'!$B$6*2.5))*45))</x:f>
        <x:v>0</x:v>
      </x:c>
      <x:c r="N134" s="83" t="n">
        <x:f>IF(V134="Mine",0,IF(OR(C134="RB",C134="WR"),MAX(30,62-COUNTIFS($C$5:$C$265,C134,$V$5:$V$265,"Mine")*5),IF(OR(C134="D/ST",C134="K"),IF('Sources &amp; Model'!$B$4&gt;='Sources &amp; Model'!$B$6*('Sources &amp; Model'!$B$8-2),62,12),IF(COUNTIFS($C$5:$C$265,C134,$V$5:$V$265,"Mine")=0,82,38))))</x:f>
        <x:v>62</x:v>
      </x:c>
      <x:c r="O134" s="65" t="n">
        <x:v>47.5</x:v>
      </x:c>
      <x:c r="P134" s="83" t="n">
        <x:f>MAX(0,MIN(100,100/(1+EXP(-(('Sources &amp; Model'!$B$5-F134)/MAX(2.5,I134))))))</x:f>
        <x:v>0.0009631531147072525</x:v>
      </x:c>
      <x:c r="Q134" s="65" t="n">
        <x:v>68</x:v>
      </x:c>
      <x:c r="R134" s="65" t="n">
        <x:v>92</x:v>
      </x:c>
      <x:c r="S134" s="65" t="n">
        <x:v>33.4</x:v>
      </x:c>
      <x:c r="T134" s="65" t="n">
        <x:v>49.2</x:v>
      </x:c>
      <x:c r="U134" s="84" t="n">
        <x:f>IF(V134&lt;&gt;"Available","",(L134*'Sources &amp; Model'!$B$13+M134*'Sources &amp; Model'!$B$14+N134*'Sources &amp; Model'!$B$15+O134*'Sources &amp; Model'!$B$16+P134*'Sources &amp; Model'!$B$17+Q134*'Sources &amp; Model'!$B$18+R134*'Sources &amp; Model'!$B$19+S134*'Sources &amp; Model'!$B$20+T134*'Sources &amp; Model'!$B$21)/SUM('Sources &amp; Model'!$B$13:$B$21))</x:f>
        <x:v>35.30731237447682</x:v>
      </x:c>
      <x:c r="V134" s="5" t="str">
        <x:v>Available</x:v>
      </x:c>
      <x:c r="W134" t="str">
        <x:v>https://help.fantasyfootballcalculator.com/article/42-adp-rest-api</x:v>
      </x:c>
    </x:row>
    <x:row r="135">
      <x:c r="A135" s="28" t="n">
        <x:v>131</x:v>
      </x:c>
      <x:c r="B135" s="28" t="str">
        <x:v>KC Concepcion</x:v>
      </x:c>
      <x:c r="C135" s="28" t="str">
        <x:v>WR</x:v>
      </x:c>
      <x:c r="D135" s="28" t="str">
        <x:v>CLE</x:v>
      </x:c>
      <x:c r="E135" s="81" t="n">
        <x:v>11</x:v>
      </x:c>
      <x:c r="F135" s="82" t="n">
        <x:v>127.9</x:v>
      </x:c>
      <x:c r="G135" s="82" t="n">
        <x:v>100</x:v>
      </x:c>
      <x:c r="H135" s="82" t="n">
        <x:v>151</x:v>
      </x:c>
      <x:c r="I135" s="82" t="n">
        <x:v>10.5</x:v>
      </x:c>
      <x:c r="J135" s="81" t="n">
        <x:v>594</x:v>
      </x:c>
      <x:c r="K135" s="81" t="n">
        <x:v>8</x:v>
      </x:c>
      <x:c r="L135" s="83" t="n">
        <x:f>MAX(0,MIN(100,100-((F135-1)/(MAX($F$5:$F$265)-1))*100))</x:f>
        <x:v>32.9635499207607</x:v>
      </x:c>
      <x:c r="M135" s="83" t="n">
        <x:f>MAX(0,MIN(100,50+(('Sources &amp; Model'!$B$4-F135)/('Sources &amp; Model'!$B$6*2.5))*45))</x:f>
        <x:v>0</x:v>
      </x:c>
      <x:c r="N135" s="83" t="n">
        <x:f>IF(V135="Mine",0,IF(OR(C135="RB",C135="WR"),MAX(30,62-COUNTIFS($C$5:$C$265,C135,$V$5:$V$265,"Mine")*5),IF(OR(C135="D/ST",C135="K"),IF('Sources &amp; Model'!$B$4&gt;='Sources &amp; Model'!$B$6*('Sources &amp; Model'!$B$8-2),62,12),IF(COUNTIFS($C$5:$C$265,C135,$V$5:$V$265,"Mine")=0,82,38))))</x:f>
        <x:v>62</x:v>
      </x:c>
      <x:c r="O135" s="65" t="n">
        <x:v>57.4</x:v>
      </x:c>
      <x:c r="P135" s="83" t="n">
        <x:f>MAX(0,MIN(100,100/(1+EXP(-(('Sources &amp; Model'!$B$5-F135)/MAX(2.5,I135))))))</x:f>
        <x:v>0.000563947306391288</x:v>
      </x:c>
      <x:c r="Q135" s="65" t="n">
        <x:v>90</x:v>
      </x:c>
      <x:c r="R135" s="65" t="n">
        <x:v>92</x:v>
      </x:c>
      <x:c r="S135" s="65" t="n">
        <x:v>49.4</x:v>
      </x:c>
      <x:c r="T135" s="65" t="n">
        <x:v>50</x:v>
      </x:c>
      <x:c r="U135" s="84" t="n">
        <x:f>IF(V135&lt;&gt;"Available","",(L135*'Sources &amp; Model'!$B$13+M135*'Sources &amp; Model'!$B$14+N135*'Sources &amp; Model'!$B$15+O135*'Sources &amp; Model'!$B$16+P135*'Sources &amp; Model'!$B$17+Q135*'Sources &amp; Model'!$B$18+R135*'Sources &amp; Model'!$B$19+S135*'Sources &amp; Model'!$B$20+T135*'Sources &amp; Model'!$B$21)/SUM('Sources &amp; Model'!$B$13:$B$21))</x:f>
        <x:v>37.96366336778928</x:v>
      </x:c>
      <x:c r="V135" s="5" t="str">
        <x:v>Available</x:v>
      </x:c>
      <x:c r="W135" t="str">
        <x:v>https://help.fantasyfootballcalculator.com/article/42-adp-rest-api</x:v>
      </x:c>
    </x:row>
    <x:row r="136">
      <x:c r="A136" s="28" t="n">
        <x:v>132</x:v>
      </x:c>
      <x:c r="B136" s="28" t="str">
        <x:v>Baker Mayfield</x:v>
      </x:c>
      <x:c r="C136" s="28" t="str">
        <x:v>QB</x:v>
      </x:c>
      <x:c r="D136" s="28" t="str">
        <x:v>TB</x:v>
      </x:c>
      <x:c r="E136" s="81" t="n">
        <x:v>10</x:v>
      </x:c>
      <x:c r="F136" s="82" t="n">
        <x:v>129.4</x:v>
      </x:c>
      <x:c r="G136" s="82" t="n">
        <x:v>104</x:v>
      </x:c>
      <x:c r="H136" s="82" t="n">
        <x:v>150</x:v>
      </x:c>
      <x:c r="I136" s="82" t="n">
        <x:v>9.5</x:v>
      </x:c>
      <x:c r="J136" s="81" t="n">
        <x:v>355</x:v>
      </x:c>
      <x:c r="K136" s="81" t="n">
        <x:v>6</x:v>
      </x:c>
      <x:c r="L136" s="83" t="n">
        <x:f>MAX(0,MIN(100,100-((F136-1)/(MAX($F$5:$F$265)-1))*100))</x:f>
        <x:v>32.17115689381933</x:v>
      </x:c>
      <x:c r="M136" s="83" t="n">
        <x:f>MAX(0,MIN(100,50+(('Sources &amp; Model'!$B$4-F136)/('Sources &amp; Model'!$B$6*2.5))*45))</x:f>
        <x:v>0</x:v>
      </x:c>
      <x:c r="N136" s="83" t="n">
        <x:f>IF(V136="Mine",0,IF(OR(C136="RB",C136="WR"),MAX(30,62-COUNTIFS($C$5:$C$265,C136,$V$5:$V$265,"Mine")*5),IF(OR(C136="D/ST",C136="K"),IF('Sources &amp; Model'!$B$4&gt;='Sources &amp; Model'!$B$6*('Sources &amp; Model'!$B$8-2),62,12),IF(COUNTIFS($C$5:$C$265,C136,$V$5:$V$265,"Mine")=0,82,38))))</x:f>
        <x:v>82</x:v>
      </x:c>
      <x:c r="O136" s="65" t="n">
        <x:v>83.3</x:v>
      </x:c>
      <x:c r="P136" s="83" t="n">
        <x:f>MAX(0,MIN(100,100/(1+EXP(-(('Sources &amp; Model'!$B$5-F136)/MAX(2.5,I136))))))</x:f>
        <x:v>0.00013494805421352453</x:v>
      </x:c>
      <x:c r="Q136" s="65" t="n">
        <x:v>90</x:v>
      </x:c>
      <x:c r="R136" s="65" t="n">
        <x:v>92</x:v>
      </x:c>
      <x:c r="S136" s="65" t="n">
        <x:v>43.9</x:v>
      </x:c>
      <x:c r="T136" s="65" t="n">
        <x:v>49.8</x:v>
      </x:c>
      <x:c r="U136" s="84" t="n">
        <x:f>IF(V136&lt;&gt;"Available","",(L136*'Sources &amp; Model'!$B$13+M136*'Sources &amp; Model'!$B$14+N136*'Sources &amp; Model'!$B$15+O136*'Sources &amp; Model'!$B$16+P136*'Sources &amp; Model'!$B$17+Q136*'Sources &amp; Model'!$B$18+R136*'Sources &amp; Model'!$B$19+S136*'Sources &amp; Model'!$B$20+T136*'Sources &amp; Model'!$B$21)/SUM('Sources &amp; Model'!$B$13:$B$21))</x:f>
        <x:v>43.690206838704</x:v>
      </x:c>
      <x:c r="V136" s="5" t="str">
        <x:v>Available</x:v>
      </x:c>
      <x:c r="W136" t="str">
        <x:v>https://help.fantasyfootballcalculator.com/article/42-adp-rest-api</x:v>
      </x:c>
    </x:row>
    <x:row r="137">
      <x:c r="A137" s="28" t="n">
        <x:v>133</x:v>
      </x:c>
      <x:c r="B137" s="28" t="str">
        <x:v>NE Defense</x:v>
      </x:c>
      <x:c r="C137" s="28" t="str">
        <x:v>D/ST</x:v>
      </x:c>
      <x:c r="D137" s="28" t="str">
        <x:v>NE</x:v>
      </x:c>
      <x:c r="E137" s="81" t="n">
        <x:v>11</x:v>
      </x:c>
      <x:c r="F137" s="82" t="n">
        <x:v>129.4</x:v>
      </x:c>
      <x:c r="G137" s="82" t="n">
        <x:v>86</x:v>
      </x:c>
      <x:c r="H137" s="82" t="n">
        <x:v>175</x:v>
      </x:c>
      <x:c r="I137" s="82" t="n">
        <x:v>16.3</x:v>
      </x:c>
      <x:c r="J137" s="81" t="n">
        <x:v>229</x:v>
      </x:c>
      <x:c r="K137" s="81" t="n">
        <x:v>2</x:v>
      </x:c>
      <x:c r="L137" s="83" t="n">
        <x:f>MAX(0,MIN(100,100-((F137-1)/(MAX($F$5:$F$265)-1))*100))</x:f>
        <x:v>32.17115689381933</x:v>
      </x:c>
      <x:c r="M137" s="83" t="n">
        <x:f>MAX(0,MIN(100,50+(('Sources &amp; Model'!$B$4-F137)/('Sources &amp; Model'!$B$6*2.5))*45))</x:f>
        <x:v>0</x:v>
      </x:c>
      <x:c r="N137" s="83" t="n">
        <x:f>IF(V137="Mine",0,IF(OR(C137="RB",C137="WR"),MAX(30,62-COUNTIFS($C$5:$C$265,C137,$V$5:$V$265,"Mine")*5),IF(OR(C137="D/ST",C137="K"),IF('Sources &amp; Model'!$B$4&gt;='Sources &amp; Model'!$B$6*('Sources &amp; Model'!$B$8-2),62,12),IF(COUNTIFS($C$5:$C$265,C137,$V$5:$V$265,"Mine")=0,82,38))))</x:f>
        <x:v>12</x:v>
      </x:c>
      <x:c r="O137" s="65" t="n">
        <x:v>44.8</x:v>
      </x:c>
      <x:c r="P137" s="83" t="n">
        <x:f>MAX(0,MIN(100,100/(1+EXP(-(('Sources &amp; Model'!$B$5-F137)/MAX(2.5,I137))))))</x:f>
        <x:v>0.03791116531106897</x:v>
      </x:c>
      <x:c r="Q137" s="65" t="n">
        <x:v>68</x:v>
      </x:c>
      <x:c r="R137" s="65" t="n">
        <x:v>92</x:v>
      </x:c>
      <x:c r="S137" s="65" t="n">
        <x:v>40.6</x:v>
      </x:c>
      <x:c r="T137" s="65" t="n">
        <x:v>50</x:v>
      </x:c>
      <x:c r="U137" s="84" t="n">
        <x:f>IF(V137&lt;&gt;"Available","",(L137*'Sources &amp; Model'!$B$13+M137*'Sources &amp; Model'!$B$14+N137*'Sources &amp; Model'!$B$15+O137*'Sources &amp; Model'!$B$16+P137*'Sources &amp; Model'!$B$17+Q137*'Sources &amp; Model'!$B$18+R137*'Sources &amp; Model'!$B$19+S137*'Sources &amp; Model'!$B$20+T137*'Sources &amp; Model'!$B$21)/SUM('Sources &amp; Model'!$B$13:$B$21))</x:f>
        <x:v>27.189984460429677</x:v>
      </x:c>
      <x:c r="V137" s="5" t="str">
        <x:v>Available</x:v>
      </x:c>
      <x:c r="W137" t="str">
        <x:v>https://help.fantasyfootballcalculator.com/article/42-adp-rest-api</x:v>
      </x:c>
    </x:row>
    <x:row r="138">
      <x:c r="A138" s="28" t="n">
        <x:v>134</x:v>
      </x:c>
      <x:c r="B138" s="28" t="str">
        <x:v>PHI Defense</x:v>
      </x:c>
      <x:c r="C138" s="28" t="str">
        <x:v>D/ST</x:v>
      </x:c>
      <x:c r="D138" s="28" t="str">
        <x:v>PHI</x:v>
      </x:c>
      <x:c r="E138" s="81" t="n">
        <x:v>10</x:v>
      </x:c>
      <x:c r="F138" s="82" t="n">
        <x:v>129.9</x:v>
      </x:c>
      <x:c r="G138" s="82" t="n">
        <x:v>91</x:v>
      </x:c>
      <x:c r="H138" s="82" t="n">
        <x:v>180</x:v>
      </x:c>
      <x:c r="I138" s="82" t="n">
        <x:v>17</x:v>
      </x:c>
      <x:c r="J138" s="81" t="n">
        <x:v>292</x:v>
      </x:c>
      <x:c r="K138" s="81" t="n">
        <x:v>2</x:v>
      </x:c>
      <x:c r="L138" s="83" t="n">
        <x:f>MAX(0,MIN(100,100-((F138-1)/(MAX($F$5:$F$265)-1))*100))</x:f>
        <x:v>31.907025884838873</x:v>
      </x:c>
      <x:c r="M138" s="83" t="n">
        <x:f>MAX(0,MIN(100,50+(('Sources &amp; Model'!$B$4-F138)/('Sources &amp; Model'!$B$6*2.5))*45))</x:f>
        <x:v>0</x:v>
      </x:c>
      <x:c r="N138" s="83" t="n">
        <x:f>IF(V138="Mine",0,IF(OR(C138="RB",C138="WR"),MAX(30,62-COUNTIFS($C$5:$C$265,C138,$V$5:$V$265,"Mine")*5),IF(OR(C138="D/ST",C138="K"),IF('Sources &amp; Model'!$B$4&gt;='Sources &amp; Model'!$B$6*('Sources &amp; Model'!$B$8-2),62,12),IF(COUNTIFS($C$5:$C$265,C138,$V$5:$V$265,"Mine")=0,82,38))))</x:f>
        <x:v>12</x:v>
      </x:c>
      <x:c r="O138" s="65" t="n">
        <x:v>51.3</x:v>
      </x:c>
      <x:c r="P138" s="83" t="n">
        <x:f>MAX(0,MIN(100,100/(1+EXP(-(('Sources &amp; Model'!$B$5-F138)/MAX(2.5,I138))))))</x:f>
        <x:v>0.050910199783717816</x:v>
      </x:c>
      <x:c r="Q138" s="65" t="n">
        <x:v>68</x:v>
      </x:c>
      <x:c r="R138" s="65" t="n">
        <x:v>92</x:v>
      </x:c>
      <x:c r="S138" s="65" t="n">
        <x:v>29.7</x:v>
      </x:c>
      <x:c r="T138" s="65" t="n">
        <x:v>50</x:v>
      </x:c>
      <x:c r="U138" s="84" t="n">
        <x:f>IF(V138&lt;&gt;"Available","",(L138*'Sources &amp; Model'!$B$13+M138*'Sources &amp; Model'!$B$14+N138*'Sources &amp; Model'!$B$15+O138*'Sources &amp; Model'!$B$16+P138*'Sources &amp; Model'!$B$17+Q138*'Sources &amp; Model'!$B$18+R138*'Sources &amp; Model'!$B$19+S138*'Sources &amp; Model'!$B$20+T138*'Sources &amp; Model'!$B$21)/SUM('Sources &amp; Model'!$B$13:$B$21))</x:f>
        <x:v>27.66347982082359</x:v>
      </x:c>
      <x:c r="V138" s="5" t="str">
        <x:v>Available</x:v>
      </x:c>
      <x:c r="W138" t="str">
        <x:v>https://help.fantasyfootballcalculator.com/article/42-adp-rest-api</x:v>
      </x:c>
    </x:row>
    <x:row r="139">
      <x:c r="A139" s="28" t="n">
        <x:v>135</x:v>
      </x:c>
      <x:c r="B139" s="28" t="str">
        <x:v>Brandon Aubrey</x:v>
      </x:c>
      <x:c r="C139" s="28" t="str">
        <x:v>K</x:v>
      </x:c>
      <x:c r="D139" s="28" t="str">
        <x:v>DAL</x:v>
      </x:c>
      <x:c r="E139" s="81" t="n">
        <x:v>14</x:v>
      </x:c>
      <x:c r="F139" s="82" t="n">
        <x:v>130.4</x:v>
      </x:c>
      <x:c r="G139" s="82" t="n">
        <x:v>69</x:v>
      </x:c>
      <x:c r="H139" s="82" t="n">
        <x:v>184</x:v>
      </x:c>
      <x:c r="I139" s="82" t="n">
        <x:v>23.3</x:v>
      </x:c>
      <x:c r="J139" s="81" t="n">
        <x:v>1595</x:v>
      </x:c>
      <x:c r="K139" s="81" t="n">
        <x:v>1</x:v>
      </x:c>
      <x:c r="L139" s="83" t="n">
        <x:f>MAX(0,MIN(100,100-((F139-1)/(MAX($F$5:$F$265)-1))*100))</x:f>
        <x:v>31.64289487585843</x:v>
      </x:c>
      <x:c r="M139" s="83" t="n">
        <x:f>MAX(0,MIN(100,50+(('Sources &amp; Model'!$B$4-F139)/('Sources &amp; Model'!$B$6*2.5))*45))</x:f>
        <x:v>0</x:v>
      </x:c>
      <x:c r="N139" s="83" t="n">
        <x:f>IF(V139="Mine",0,IF(OR(C139="RB",C139="WR"),MAX(30,62-COUNTIFS($C$5:$C$265,C139,$V$5:$V$265,"Mine")*5),IF(OR(C139="D/ST",C139="K"),IF('Sources &amp; Model'!$B$4&gt;='Sources &amp; Model'!$B$6*('Sources &amp; Model'!$B$8-2),62,12),IF(COUNTIFS($C$5:$C$265,C139,$V$5:$V$265,"Mine")=0,82,38))))</x:f>
        <x:v>12</x:v>
      </x:c>
      <x:c r="O139" s="65" t="n">
        <x:v>90.4</x:v>
      </x:c>
      <x:c r="P139" s="83" t="n">
        <x:f>MAX(0,MIN(100,100/(1+EXP(-(('Sources &amp; Model'!$B$5-F139)/MAX(2.5,I139))))))</x:f>
        <x:v>0.3858356790364275</x:v>
      </x:c>
      <x:c r="Q139" s="65" t="n">
        <x:v>68</x:v>
      </x:c>
      <x:c r="R139" s="65" t="n">
        <x:v>92</x:v>
      </x:c>
      <x:c r="S139" s="65" t="n">
        <x:v>32.6</x:v>
      </x:c>
      <x:c r="T139" s="65" t="n">
        <x:v>50</x:v>
      </x:c>
      <x:c r="U139" s="84" t="n">
        <x:f>IF(V139&lt;&gt;"Available","",(L139*'Sources &amp; Model'!$B$13+M139*'Sources &amp; Model'!$B$14+N139*'Sources &amp; Model'!$B$15+O139*'Sources &amp; Model'!$B$16+P139*'Sources &amp; Model'!$B$17+Q139*'Sources &amp; Model'!$B$18+R139*'Sources &amp; Model'!$B$19+S139*'Sources &amp; Model'!$B$20+T139*'Sources &amp; Model'!$B$21)/SUM('Sources &amp; Model'!$B$13:$B$21))</x:f>
        <x:v>32.35716782569551</x:v>
      </x:c>
      <x:c r="V139" s="5" t="str">
        <x:v>Available</x:v>
      </x:c>
      <x:c r="W139" t="str">
        <x:v>https://help.fantasyfootballcalculator.com/article/42-adp-rest-api</x:v>
      </x:c>
    </x:row>
    <x:row r="140">
      <x:c r="A140" s="28" t="n">
        <x:v>136</x:v>
      </x:c>
      <x:c r="B140" s="28" t="str">
        <x:v>Jayden Higgins</x:v>
      </x:c>
      <x:c r="C140" s="28" t="str">
        <x:v>WR</x:v>
      </x:c>
      <x:c r="D140" s="28" t="str">
        <x:v>HOU</x:v>
      </x:c>
      <x:c r="E140" s="81" t="n">
        <x:v>8</x:v>
      </x:c>
      <x:c r="F140" s="82" t="n">
        <x:v>130.7</x:v>
      </x:c>
      <x:c r="G140" s="82" t="n">
        <x:v>98</x:v>
      </x:c>
      <x:c r="H140" s="82" t="n">
        <x:v>167</x:v>
      </x:c>
      <x:c r="I140" s="82" t="n">
        <x:v>12.6</x:v>
      </x:c>
      <x:c r="J140" s="81" t="n">
        <x:v>383</x:v>
      </x:c>
      <x:c r="K140" s="81" t="n">
        <x:v>8</x:v>
      </x:c>
      <x:c r="L140" s="83" t="n">
        <x:f>MAX(0,MIN(100,100-((F140-1)/(MAX($F$5:$F$265)-1))*100))</x:f>
        <x:v>31.484416270470163</x:v>
      </x:c>
      <x:c r="M140" s="83" t="n">
        <x:f>MAX(0,MIN(100,50+(('Sources &amp; Model'!$B$4-F140)/('Sources &amp; Model'!$B$6*2.5))*45))</x:f>
        <x:v>0</x:v>
      </x:c>
      <x:c r="N140" s="83" t="n">
        <x:f>IF(V140="Mine",0,IF(OR(C140="RB",C140="WR"),MAX(30,62-COUNTIFS($C$5:$C$265,C140,$V$5:$V$265,"Mine")*5),IF(OR(C140="D/ST",C140="K"),IF('Sources &amp; Model'!$B$4&gt;='Sources &amp; Model'!$B$6*('Sources &amp; Model'!$B$8-2),62,12),IF(COUNTIFS($C$5:$C$265,C140,$V$5:$V$265,"Mine")=0,82,38))))</x:f>
        <x:v>62</x:v>
      </x:c>
      <x:c r="O140" s="65" t="n">
        <x:v>54.7</x:v>
      </x:c>
      <x:c r="P140" s="83" t="n">
        <x:f>MAX(0,MIN(100,100/(1+EXP(-(('Sources &amp; Model'!$B$5-F140)/MAX(2.5,I140))))))</x:f>
        <x:v>0.0033846172397828805</x:v>
      </x:c>
      <x:c r="Q140" s="65" t="n">
        <x:v>68</x:v>
      </x:c>
      <x:c r="R140" s="65" t="n">
        <x:v>92</x:v>
      </x:c>
      <x:c r="S140" s="65" t="n">
        <x:v>37.6</x:v>
      </x:c>
      <x:c r="T140" s="65" t="n">
        <x:v>50</x:v>
      </x:c>
      <x:c r="U140" s="84" t="n">
        <x:f>IF(V140&lt;&gt;"Available","",(L140*'Sources &amp; Model'!$B$13+M140*'Sources &amp; Model'!$B$14+N140*'Sources &amp; Model'!$B$15+O140*'Sources &amp; Model'!$B$16+P140*'Sources &amp; Model'!$B$17+Q140*'Sources &amp; Model'!$B$18+R140*'Sources &amp; Model'!$B$19+S140*'Sources &amp; Model'!$B$20+T140*'Sources &amp; Model'!$B$21)/SUM('Sources &amp; Model'!$B$13:$B$21))</x:f>
        <x:v>35.58103999368384</x:v>
      </x:c>
      <x:c r="V140" s="5" t="str">
        <x:v>Available</x:v>
      </x:c>
      <x:c r="W140" t="str">
        <x:v>https://help.fantasyfootballcalculator.com/article/42-adp-rest-api</x:v>
      </x:c>
    </x:row>
    <x:row r="141">
      <x:c r="A141" s="28" t="n">
        <x:v>137</x:v>
      </x:c>
      <x:c r="B141" s="28" t="str">
        <x:v>DET Defense</x:v>
      </x:c>
      <x:c r="C141" s="28" t="str">
        <x:v>D/ST</x:v>
      </x:c>
      <x:c r="D141" s="28" t="str">
        <x:v>DET</x:v>
      </x:c>
      <x:c r="E141" s="81" t="n">
        <x:v>6</x:v>
      </x:c>
      <x:c r="F141" s="82" t="n">
        <x:v>131.6</x:v>
      </x:c>
      <x:c r="G141" s="82" t="n">
        <x:v>102</x:v>
      </x:c>
      <x:c r="H141" s="82" t="n">
        <x:v>168</x:v>
      </x:c>
      <x:c r="I141" s="82" t="n">
        <x:v>14.1</x:v>
      </x:c>
      <x:c r="J141" s="81" t="n">
        <x:v>74</x:v>
      </x:c>
      <x:c r="K141" s="81" t="n">
        <x:v>2</x:v>
      </x:c>
      <x:c r="L141" s="83" t="n">
        <x:f>MAX(0,MIN(100,100-((F141-1)/(MAX($F$5:$F$265)-1))*100))</x:f>
        <x:v>31.008980454305345</x:v>
      </x:c>
      <x:c r="M141" s="83" t="n">
        <x:f>MAX(0,MIN(100,50+(('Sources &amp; Model'!$B$4-F141)/('Sources &amp; Model'!$B$6*2.5))*45))</x:f>
        <x:v>0</x:v>
      </x:c>
      <x:c r="N141" s="83" t="n">
        <x:f>IF(V141="Mine",0,IF(OR(C141="RB",C141="WR"),MAX(30,62-COUNTIFS($C$5:$C$265,C141,$V$5:$V$265,"Mine")*5),IF(OR(C141="D/ST",C141="K"),IF('Sources &amp; Model'!$B$4&gt;='Sources &amp; Model'!$B$6*('Sources &amp; Model'!$B$8-2),62,12),IF(COUNTIFS($C$5:$C$265,C141,$V$5:$V$265,"Mine")=0,82,38))))</x:f>
        <x:v>12</x:v>
      </x:c>
      <x:c r="O141" s="65" t="n">
        <x:v>100</x:v>
      </x:c>
      <x:c r="P141" s="83" t="n">
        <x:f>MAX(0,MIN(100,100/(1+EXP(-(('Sources &amp; Model'!$B$5-F141)/MAX(2.5,I141))))))</x:f>
        <x:v>0.009491713889188364</x:v>
      </x:c>
      <x:c r="Q141" s="65" t="n">
        <x:v>68</x:v>
      </x:c>
      <x:c r="R141" s="65" t="n">
        <x:v>92</x:v>
      </x:c>
      <x:c r="S141" s="65" t="n">
        <x:v>45.2</x:v>
      </x:c>
      <x:c r="T141" s="65" t="n">
        <x:v>50</x:v>
      </x:c>
      <x:c r="U141" s="84" t="n">
        <x:f>IF(V141&lt;&gt;"Available","",(L141*'Sources &amp; Model'!$B$13+M141*'Sources &amp; Model'!$B$14+N141*'Sources &amp; Model'!$B$15+O141*'Sources &amp; Model'!$B$16+P141*'Sources &amp; Model'!$B$17+Q141*'Sources &amp; Model'!$B$18+R141*'Sources &amp; Model'!$B$19+S141*'Sources &amp; Model'!$B$20+T141*'Sources &amp; Model'!$B$21)/SUM('Sources &amp; Model'!$B$13:$B$21))</x:f>
        <x:v>33.50800252585274</x:v>
      </x:c>
      <x:c r="V141" s="5" t="str">
        <x:v>Available</x:v>
      </x:c>
      <x:c r="W141" t="str">
        <x:v>https://help.fantasyfootballcalculator.com/article/42-adp-rest-api</x:v>
      </x:c>
    </x:row>
    <x:row r="142">
      <x:c r="A142" s="28" t="n">
        <x:v>138</x:v>
      </x:c>
      <x:c r="B142" s="28" t="str">
        <x:v>Tyjae Spears</x:v>
      </x:c>
      <x:c r="C142" s="28" t="str">
        <x:v>RB</x:v>
      </x:c>
      <x:c r="D142" s="28" t="str">
        <x:v>TEN</x:v>
      </x:c>
      <x:c r="E142" s="81" t="n">
        <x:v>9</x:v>
      </x:c>
      <x:c r="F142" s="82" t="n">
        <x:v>132.2</x:v>
      </x:c>
      <x:c r="G142" s="82" t="n">
        <x:v>99</x:v>
      </x:c>
      <x:c r="H142" s="82" t="n">
        <x:v>170</x:v>
      </x:c>
      <x:c r="I142" s="82" t="n">
        <x:v>13.4</x:v>
      </x:c>
      <x:c r="J142" s="81" t="n">
        <x:v>98</x:v>
      </x:c>
      <x:c r="K142" s="81" t="n">
        <x:v>8</x:v>
      </x:c>
      <x:c r="L142" s="83" t="n">
        <x:f>MAX(0,MIN(100,100-((F142-1)/(MAX($F$5:$F$265)-1))*100))</x:f>
        <x:v>30.692023243528794</x:v>
      </x:c>
      <x:c r="M142" s="83" t="n">
        <x:f>MAX(0,MIN(100,50+(('Sources &amp; Model'!$B$4-F142)/('Sources &amp; Model'!$B$6*2.5))*45))</x:f>
        <x:v>0</x:v>
      </x:c>
      <x:c r="N142" s="83" t="n">
        <x:f>IF(V142="Mine",0,IF(OR(C142="RB",C142="WR"),MAX(30,62-COUNTIFS($C$5:$C$265,C142,$V$5:$V$265,"Mine")*5),IF(OR(C142="D/ST",C142="K"),IF('Sources &amp; Model'!$B$4&gt;='Sources &amp; Model'!$B$6*('Sources &amp; Model'!$B$8-2),62,12),IF(COUNTIFS($C$5:$C$265,C142,$V$5:$V$265,"Mine")=0,82,38))))</x:f>
        <x:v>62</x:v>
      </x:c>
      <x:c r="O142" s="65" t="n">
        <x:v>86</x:v>
      </x:c>
      <x:c r="P142" s="83" t="n">
        <x:f>MAX(0,MIN(100,100/(1+EXP(-(('Sources &amp; Model'!$B$5-F142)/MAX(2.5,I142))))))</x:f>
        <x:v>0.005594728079766537</x:v>
      </x:c>
      <x:c r="Q142" s="65" t="n">
        <x:v>68</x:v>
      </x:c>
      <x:c r="R142" s="65" t="n">
        <x:v>92</x:v>
      </x:c>
      <x:c r="S142" s="65" t="n">
        <x:v>50.9</x:v>
      </x:c>
      <x:c r="T142" s="65" t="n">
        <x:v>49.9</x:v>
      </x:c>
      <x:c r="U142" s="84" t="n">
        <x:f>IF(V142&lt;&gt;"Available","",(L142*'Sources &amp; Model'!$B$13+M142*'Sources &amp; Model'!$B$14+N142*'Sources &amp; Model'!$B$15+O142*'Sources &amp; Model'!$B$16+P142*'Sources &amp; Model'!$B$17+Q142*'Sources &amp; Model'!$B$18+R142*'Sources &amp; Model'!$B$19+S142*'Sources &amp; Model'!$B$20+T142*'Sources &amp; Model'!$B$21)/SUM('Sources &amp; Model'!$B$13:$B$21))</x:f>
        <x:v>39.33284737560777</x:v>
      </x:c>
      <x:c r="V142" s="5" t="str">
        <x:v>Available</x:v>
      </x:c>
      <x:c r="W142" t="str">
        <x:v>https://help.fantasyfootballcalculator.com/article/42-adp-rest-api</x:v>
      </x:c>
    </x:row>
    <x:row r="143">
      <x:c r="A143" s="28" t="n">
        <x:v>139</x:v>
      </x:c>
      <x:c r="B143" s="28" t="str">
        <x:v>Tre Tucker</x:v>
      </x:c>
      <x:c r="C143" s="28" t="str">
        <x:v>WR</x:v>
      </x:c>
      <x:c r="D143" s="28" t="str">
        <x:v>LV</x:v>
      </x:c>
      <x:c r="E143" s="81" t="n">
        <x:v>13</x:v>
      </x:c>
      <x:c r="F143" s="82" t="n">
        <x:v>133</x:v>
      </x:c>
      <x:c r="G143" s="82" t="n">
        <x:v>106</x:v>
      </x:c>
      <x:c r="H143" s="82" t="n">
        <x:v>151</x:v>
      </x:c>
      <x:c r="I143" s="82" t="n">
        <x:v>10</x:v>
      </x:c>
      <x:c r="J143" s="81" t="n">
        <x:v>158</x:v>
      </x:c>
      <x:c r="K143" s="81" t="n">
        <x:v>8</x:v>
      </x:c>
      <x:c r="L143" s="83" t="n">
        <x:f>MAX(0,MIN(100,100-((F143-1)/(MAX($F$5:$F$265)-1))*100))</x:f>
        <x:v>30.26941362916007</x:v>
      </x:c>
      <x:c r="M143" s="83" t="n">
        <x:f>MAX(0,MIN(100,50+(('Sources &amp; Model'!$B$4-F143)/('Sources &amp; Model'!$B$6*2.5))*45))</x:f>
        <x:v>0</x:v>
      </x:c>
      <x:c r="N143" s="83" t="n">
        <x:f>IF(V143="Mine",0,IF(OR(C143="RB",C143="WR"),MAX(30,62-COUNTIFS($C$5:$C$265,C143,$V$5:$V$265,"Mine")*5),IF(OR(C143="D/ST",C143="K"),IF('Sources &amp; Model'!$B$4&gt;='Sources &amp; Model'!$B$6*('Sources &amp; Model'!$B$8-2),62,12),IF(COUNTIFS($C$5:$C$265,C143,$V$5:$V$265,"Mine")=0,82,38))))</x:f>
        <x:v>62</x:v>
      </x:c>
      <x:c r="O143" s="65" t="n">
        <x:v>47</x:v>
      </x:c>
      <x:c r="P143" s="83" t="n">
        <x:f>MAX(0,MIN(100,100/(1+EXP(-(('Sources &amp; Model'!$B$5-F143)/MAX(2.5,I143))))))</x:f>
        <x:v>0.00018505977728634535</x:v>
      </x:c>
      <x:c r="Q143" s="65" t="n">
        <x:v>90</x:v>
      </x:c>
      <x:c r="R143" s="65" t="n">
        <x:v>92</x:v>
      </x:c>
      <x:c r="S143" s="65" t="n">
        <x:v>58.4</x:v>
      </x:c>
      <x:c r="T143" s="65" t="n">
        <x:v>50</x:v>
      </x:c>
      <x:c r="U143" s="84" t="n">
        <x:f>IF(V143&lt;&gt;"Available","",(L143*'Sources &amp; Model'!$B$13+M143*'Sources &amp; Model'!$B$14+N143*'Sources &amp; Model'!$B$15+O143*'Sources &amp; Model'!$B$16+P143*'Sources &amp; Model'!$B$17+Q143*'Sources &amp; Model'!$B$18+R143*'Sources &amp; Model'!$B$19+S143*'Sources &amp; Model'!$B$20+T143*'Sources &amp; Model'!$B$21)/SUM('Sources &amp; Model'!$B$13:$B$21))</x:f>
        <x:v>35.97961913989215</x:v>
      </x:c>
      <x:c r="V143" s="5" t="str">
        <x:v>Available</x:v>
      </x:c>
      <x:c r="W143" t="str">
        <x:v>https://help.fantasyfootballcalculator.com/article/42-adp-rest-api</x:v>
      </x:c>
    </x:row>
    <x:row r="144">
      <x:c r="A144" s="28" t="n">
        <x:v>140</x:v>
      </x:c>
      <x:c r="B144" s="28" t="str">
        <x:v>Jerry Jeudy</x:v>
      </x:c>
      <x:c r="C144" s="28" t="str">
        <x:v>WR</x:v>
      </x:c>
      <x:c r="D144" s="28" t="str">
        <x:v>CLE</x:v>
      </x:c>
      <x:c r="E144" s="81" t="n">
        <x:v>11</x:v>
      </x:c>
      <x:c r="F144" s="82" t="n">
        <x:v>133.9</x:v>
      </x:c>
      <x:c r="G144" s="82" t="n">
        <x:v>107</x:v>
      </x:c>
      <x:c r="H144" s="82" t="n">
        <x:v>150</x:v>
      </x:c>
      <x:c r="I144" s="82" t="n">
        <x:v>10.3</x:v>
      </x:c>
      <x:c r="J144" s="81" t="n">
        <x:v>159</x:v>
      </x:c>
      <x:c r="K144" s="81" t="n">
        <x:v>8</x:v>
      </x:c>
      <x:c r="L144" s="83" t="n">
        <x:f>MAX(0,MIN(100,100-((F144-1)/(MAX($F$5:$F$265)-1))*100))</x:f>
        <x:v>29.793977812995237</x:v>
      </x:c>
      <x:c r="M144" s="83" t="n">
        <x:f>MAX(0,MIN(100,50+(('Sources &amp; Model'!$B$4-F144)/('Sources &amp; Model'!$B$6*2.5))*45))</x:f>
        <x:v>0</x:v>
      </x:c>
      <x:c r="N144" s="83" t="n">
        <x:f>IF(V144="Mine",0,IF(OR(C144="RB",C144="WR"),MAX(30,62-COUNTIFS($C$5:$C$265,C144,$V$5:$V$265,"Mine")*5),IF(OR(C144="D/ST",C144="K"),IF('Sources &amp; Model'!$B$4&gt;='Sources &amp; Model'!$B$6*('Sources &amp; Model'!$B$8-2),62,12),IF(COUNTIFS($C$5:$C$265,C144,$V$5:$V$265,"Mine")=0,82,38))))</x:f>
        <x:v>62</x:v>
      </x:c>
      <x:c r="O144" s="65" t="n">
        <x:v>53</x:v>
      </x:c>
      <x:c r="P144" s="83" t="n">
        <x:f>MAX(0,MIN(100,100/(1+EXP(-(('Sources &amp; Model'!$B$5-F144)/MAX(2.5,I144))))))</x:f>
        <x:v>0.000249077883279071</x:v>
      </x:c>
      <x:c r="Q144" s="65" t="n">
        <x:v>68</x:v>
      </x:c>
      <x:c r="R144" s="65" t="n">
        <x:v>92</x:v>
      </x:c>
      <x:c r="S144" s="65" t="n">
        <x:v>49.4</x:v>
      </x:c>
      <x:c r="T144" s="65" t="n">
        <x:v>49.9</x:v>
      </x:c>
      <x:c r="U144" s="84" t="n">
        <x:f>IF(V144&lt;&gt;"Available","",(L144*'Sources &amp; Model'!$B$13+M144*'Sources &amp; Model'!$B$14+N144*'Sources &amp; Model'!$B$15+O144*'Sources &amp; Model'!$B$16+P144*'Sources &amp; Model'!$B$17+Q144*'Sources &amp; Model'!$B$18+R144*'Sources &amp; Model'!$B$19+S144*'Sources &amp; Model'!$B$20+T144*'Sources &amp; Model'!$B$21)/SUM('Sources &amp; Model'!$B$13:$B$21))</x:f>
        <x:v>35.03697736420671</x:v>
      </x:c>
      <x:c r="V144" s="5" t="str">
        <x:v>Available</x:v>
      </x:c>
      <x:c r="W144" t="str">
        <x:v>https://help.fantasyfootballcalculator.com/article/42-adp-rest-api</x:v>
      </x:c>
    </x:row>
    <x:row r="145">
      <x:c r="A145" s="28" t="n">
        <x:v>141</x:v>
      </x:c>
      <x:c r="B145" s="28" t="str">
        <x:v>Isaiah Likely</x:v>
      </x:c>
      <x:c r="C145" s="28" t="str">
        <x:v>TE</x:v>
      </x:c>
      <x:c r="D145" s="28" t="str">
        <x:v>NYG</x:v>
      </x:c>
      <x:c r="E145" s="81" t="n">
        <x:v>8</x:v>
      </x:c>
      <x:c r="F145" s="82" t="n">
        <x:v>134.4</x:v>
      </x:c>
      <x:c r="G145" s="82" t="n">
        <x:v>87</x:v>
      </x:c>
      <x:c r="H145" s="82" t="n">
        <x:v>174</x:v>
      </x:c>
      <x:c r="I145" s="82" t="n">
        <x:v>17.9</x:v>
      </x:c>
      <x:c r="J145" s="81" t="n">
        <x:v>1043</x:v>
      </x:c>
      <x:c r="K145" s="81" t="n">
        <x:v>5</x:v>
      </x:c>
      <x:c r="L145" s="83" t="n">
        <x:f>MAX(0,MIN(100,100-((F145-1)/(MAX($F$5:$F$265)-1))*100))</x:f>
        <x:v>29.529846804014795</x:v>
      </x:c>
      <x:c r="M145" s="83" t="n">
        <x:f>MAX(0,MIN(100,50+(('Sources &amp; Model'!$B$4-F145)/('Sources &amp; Model'!$B$6*2.5))*45))</x:f>
        <x:v>0</x:v>
      </x:c>
      <x:c r="N145" s="83" t="n">
        <x:f>IF(V145="Mine",0,IF(OR(C145="RB",C145="WR"),MAX(30,62-COUNTIFS($C$5:$C$265,C145,$V$5:$V$265,"Mine")*5),IF(OR(C145="D/ST",C145="K"),IF('Sources &amp; Model'!$B$4&gt;='Sources &amp; Model'!$B$6*('Sources &amp; Model'!$B$8-2),62,12),IF(COUNTIFS($C$5:$C$265,C145,$V$5:$V$265,"Mine")=0,82,38))))</x:f>
        <x:v>82</x:v>
      </x:c>
      <x:c r="O145" s="65" t="n">
        <x:v>50.3</x:v>
      </x:c>
      <x:c r="P145" s="83" t="n">
        <x:f>MAX(0,MIN(100,100/(1+EXP(-(('Sources &amp; Model'!$B$5-F145)/MAX(2.5,I145))))))</x:f>
        <x:v>0.057964553947623385</x:v>
      </x:c>
      <x:c r="Q145" s="65" t="n">
        <x:v>90</x:v>
      </x:c>
      <x:c r="R145" s="65" t="n">
        <x:v>92</x:v>
      </x:c>
      <x:c r="S145" s="65" t="n">
        <x:v>40.4</x:v>
      </x:c>
      <x:c r="T145" s="65" t="n">
        <x:v>50</x:v>
      </x:c>
      <x:c r="U145" s="84" t="n">
        <x:f>IF(V145&lt;&gt;"Available","",(L145*'Sources &amp; Model'!$B$13+M145*'Sources &amp; Model'!$B$14+N145*'Sources &amp; Model'!$B$15+O145*'Sources &amp; Model'!$B$16+P145*'Sources &amp; Model'!$B$17+Q145*'Sources &amp; Model'!$B$18+R145*'Sources &amp; Model'!$B$19+S145*'Sources &amp; Model'!$B$20+T145*'Sources &amp; Model'!$B$21)/SUM('Sources &amp; Model'!$B$13:$B$21))</x:f>
        <x:v>38.769944368759795</x:v>
      </x:c>
      <x:c r="V145" s="5" t="str">
        <x:v>Available</x:v>
      </x:c>
      <x:c r="W145" t="str">
        <x:v>https://help.fantasyfootballcalculator.com/article/42-adp-rest-api</x:v>
      </x:c>
    </x:row>
    <x:row r="146">
      <x:c r="A146" s="28" t="n">
        <x:v>142</x:v>
      </x:c>
      <x:c r="B146" s="28" t="str">
        <x:v>Calvin Ridley</x:v>
      </x:c>
      <x:c r="C146" s="28" t="str">
        <x:v>WR</x:v>
      </x:c>
      <x:c r="D146" s="28" t="str">
        <x:v>TEN</x:v>
      </x:c>
      <x:c r="E146" s="81" t="n">
        <x:v>9</x:v>
      </x:c>
      <x:c r="F146" s="82" t="n">
        <x:v>135.9</x:v>
      </x:c>
      <x:c r="G146" s="82" t="n">
        <x:v>108</x:v>
      </x:c>
      <x:c r="H146" s="82" t="n">
        <x:v>158</x:v>
      </x:c>
      <x:c r="I146" s="82" t="n">
        <x:v>10.4</x:v>
      </x:c>
      <x:c r="J146" s="81" t="n">
        <x:v>123</x:v>
      </x:c>
      <x:c r="K146" s="81" t="n">
        <x:v>8</x:v>
      </x:c>
      <x:c r="L146" s="83" t="n">
        <x:f>MAX(0,MIN(100,100-((F146-1)/(MAX($F$5:$F$265)-1))*100))</x:f>
        <x:v>28.737453777073426</x:v>
      </x:c>
      <x:c r="M146" s="83" t="n">
        <x:f>MAX(0,MIN(100,50+(('Sources &amp; Model'!$B$4-F146)/('Sources &amp; Model'!$B$6*2.5))*45))</x:f>
        <x:v>0</x:v>
      </x:c>
      <x:c r="N146" s="83" t="n">
        <x:f>IF(V146="Mine",0,IF(OR(C146="RB",C146="WR"),MAX(30,62-COUNTIFS($C$5:$C$265,C146,$V$5:$V$265,"Mine")*5),IF(OR(C146="D/ST",C146="K"),IF('Sources &amp; Model'!$B$4&gt;='Sources &amp; Model'!$B$6*('Sources &amp; Model'!$B$8-2),62,12),IF(COUNTIFS($C$5:$C$265,C146,$V$5:$V$265,"Mine")=0,82,38))))</x:f>
        <x:v>62</x:v>
      </x:c>
      <x:c r="O146" s="65" t="n">
        <x:v>62.9</x:v>
      </x:c>
      <x:c r="P146" s="83" t="n">
        <x:f>MAX(0,MIN(100,100/(1+EXP(-(('Sources &amp; Model'!$B$5-F146)/MAX(2.5,I146))))))</x:f>
        <x:v>0.00023264753230147785</x:v>
      </x:c>
      <x:c r="Q146" s="65" t="n">
        <x:v>50</x:v>
      </x:c>
      <x:c r="R146" s="65" t="n">
        <x:v>92</x:v>
      </x:c>
      <x:c r="S146" s="65" t="n">
        <x:v>50.9</x:v>
      </x:c>
      <x:c r="T146" s="65" t="n">
        <x:v>49</x:v>
      </x:c>
      <x:c r="U146" s="84" t="n">
        <x:f>IF(V146&lt;&gt;"Available","",(L146*'Sources &amp; Model'!$B$13+M146*'Sources &amp; Model'!$B$14+N146*'Sources &amp; Model'!$B$15+O146*'Sources &amp; Model'!$B$16+P146*'Sources &amp; Model'!$B$17+Q146*'Sources &amp; Model'!$B$18+R146*'Sources &amp; Model'!$B$19+S146*'Sources &amp; Model'!$B$20+T146*'Sources &amp; Model'!$B$21)/SUM('Sources &amp; Model'!$B$13:$B$21))</x:f>
        <x:v>34.806757548958196</x:v>
      </x:c>
      <x:c r="V146" s="5" t="str">
        <x:v>Available</x:v>
      </x:c>
      <x:c r="W146" t="str">
        <x:v>https://help.fantasyfootballcalculator.com/article/42-adp-rest-api</x:v>
      </x:c>
    </x:row>
    <x:row r="147">
      <x:c r="A147" s="28" t="n">
        <x:v>143</x:v>
      </x:c>
      <x:c r="B147" s="28" t="str">
        <x:v>Jake Ferguson</x:v>
      </x:c>
      <x:c r="C147" s="28" t="str">
        <x:v>TE</x:v>
      </x:c>
      <x:c r="D147" s="28" t="str">
        <x:v>DAL</x:v>
      </x:c>
      <x:c r="E147" s="81" t="n">
        <x:v>14</x:v>
      </x:c>
      <x:c r="F147" s="82" t="n">
        <x:v>135.9</x:v>
      </x:c>
      <x:c r="G147" s="82" t="n">
        <x:v>84</x:v>
      </x:c>
      <x:c r="H147" s="82" t="n">
        <x:v>176</x:v>
      </x:c>
      <x:c r="I147" s="82" t="n">
        <x:v>20.1</x:v>
      </x:c>
      <x:c r="J147" s="81" t="n">
        <x:v>433</x:v>
      </x:c>
      <x:c r="K147" s="81" t="n">
        <x:v>5</x:v>
      </x:c>
      <x:c r="L147" s="83" t="n">
        <x:f>MAX(0,MIN(100,100-((F147-1)/(MAX($F$5:$F$265)-1))*100))</x:f>
        <x:v>28.737453777073426</x:v>
      </x:c>
      <x:c r="M147" s="83" t="n">
        <x:f>MAX(0,MIN(100,50+(('Sources &amp; Model'!$B$4-F147)/('Sources &amp; Model'!$B$6*2.5))*45))</x:f>
        <x:v>0</x:v>
      </x:c>
      <x:c r="N147" s="83" t="n">
        <x:f>IF(V147="Mine",0,IF(OR(C147="RB",C147="WR"),MAX(30,62-COUNTIFS($C$5:$C$265,C147,$V$5:$V$265,"Mine")*5),IF(OR(C147="D/ST",C147="K"),IF('Sources &amp; Model'!$B$4&gt;='Sources &amp; Model'!$B$6*('Sources &amp; Model'!$B$8-2),62,12),IF(COUNTIFS($C$5:$C$265,C147,$V$5:$V$265,"Mine")=0,82,38))))</x:f>
        <x:v>82</x:v>
      </x:c>
      <x:c r="O147" s="65" t="n">
        <x:v>52.5</x:v>
      </x:c>
      <x:c r="P147" s="83" t="n">
        <x:f>MAX(0,MIN(100,100/(1+EXP(-(('Sources &amp; Model'!$B$5-F147)/MAX(2.5,I147))))))</x:f>
        <x:v>0.12154280577160781</x:v>
      </x:c>
      <x:c r="Q147" s="65" t="n">
        <x:v>90</x:v>
      </x:c>
      <x:c r="R147" s="65" t="n">
        <x:v>92</x:v>
      </x:c>
      <x:c r="S147" s="65" t="n">
        <x:v>32.6</x:v>
      </x:c>
      <x:c r="T147" s="65" t="n">
        <x:v>50</x:v>
      </x:c>
      <x:c r="U147" s="84" t="n">
        <x:f>IF(V147&lt;&gt;"Available","",(L147*'Sources &amp; Model'!$B$13+M147*'Sources &amp; Model'!$B$14+N147*'Sources &amp; Model'!$B$15+O147*'Sources &amp; Model'!$B$16+P147*'Sources &amp; Model'!$B$17+Q147*'Sources &amp; Model'!$B$18+R147*'Sources &amp; Model'!$B$19+S147*'Sources &amp; Model'!$B$20+T147*'Sources &amp; Model'!$B$21)/SUM('Sources &amp; Model'!$B$13:$B$21))</x:f>
        <x:v>38.61488856478212</x:v>
      </x:c>
      <x:c r="V147" s="5" t="str">
        <x:v>Available</x:v>
      </x:c>
      <x:c r="W147" t="str">
        <x:v>https://help.fantasyfootballcalculator.com/article/42-adp-rest-api</x:v>
      </x:c>
    </x:row>
    <x:row r="148">
      <x:c r="A148" s="28" t="n">
        <x:v>144</x:v>
      </x:c>
      <x:c r="B148" s="28" t="str">
        <x:v>Tyler Shough</x:v>
      </x:c>
      <x:c r="C148" s="28" t="str">
        <x:v>QB</x:v>
      </x:c>
      <x:c r="D148" s="28" t="str">
        <x:v>NO</x:v>
      </x:c>
      <x:c r="E148" s="81" t="n">
        <x:v>8</x:v>
      </x:c>
      <x:c r="F148" s="82" t="n">
        <x:v>136.9</x:v>
      </x:c>
      <x:c r="G148" s="82" t="n">
        <x:v>111</x:v>
      </x:c>
      <x:c r="H148" s="82" t="n">
        <x:v>169</x:v>
      </x:c>
      <x:c r="I148" s="82" t="n">
        <x:v>9.7</x:v>
      </x:c>
      <x:c r="J148" s="81" t="n">
        <x:v>239</x:v>
      </x:c>
      <x:c r="K148" s="81" t="n">
        <x:v>6</x:v>
      </x:c>
      <x:c r="L148" s="83" t="n">
        <x:f>MAX(0,MIN(100,100-((F148-1)/(MAX($F$5:$F$265)-1))*100))</x:f>
        <x:v>28.209191759112514</x:v>
      </x:c>
      <x:c r="M148" s="83" t="n">
        <x:f>MAX(0,MIN(100,50+(('Sources &amp; Model'!$B$4-F148)/('Sources &amp; Model'!$B$6*2.5))*45))</x:f>
        <x:v>0</x:v>
      </x:c>
      <x:c r="N148" s="83" t="n">
        <x:f>IF(V148="Mine",0,IF(OR(C148="RB",C148="WR"),MAX(30,62-COUNTIFS($C$5:$C$265,C148,$V$5:$V$265,"Mine")*5),IF(OR(C148="D/ST",C148="K"),IF('Sources &amp; Model'!$B$4&gt;='Sources &amp; Model'!$B$6*('Sources &amp; Model'!$B$8-2),62,12),IF(COUNTIFS($C$5:$C$265,C148,$V$5:$V$265,"Mine")=0,82,38))))</x:f>
        <x:v>82</x:v>
      </x:c>
      <x:c r="O148" s="65" t="n">
        <x:v>63.5</x:v>
      </x:c>
      <x:c r="P148" s="83" t="n">
        <x:f>MAX(0,MIN(100,100/(1+EXP(-(('Sources &amp; Model'!$B$5-F148)/MAX(2.5,I148))))))</x:f>
        <x:v>0.00008229996172383176</x:v>
      </x:c>
      <x:c r="Q148" s="65" t="n">
        <x:v>90</x:v>
      </x:c>
      <x:c r="R148" s="65" t="n">
        <x:v>92</x:v>
      </x:c>
      <x:c r="S148" s="65" t="n">
        <x:v>47.2</x:v>
      </x:c>
      <x:c r="T148" s="65" t="n">
        <x:v>50</x:v>
      </x:c>
      <x:c r="U148" s="84" t="n">
        <x:f>IF(V148&lt;&gt;"Available","",(L148*'Sources &amp; Model'!$B$13+M148*'Sources &amp; Model'!$B$14+N148*'Sources &amp; Model'!$B$15+O148*'Sources &amp; Model'!$B$16+P148*'Sources &amp; Model'!$B$17+Q148*'Sources &amp; Model'!$B$18+R148*'Sources &amp; Model'!$B$19+S148*'Sources &amp; Model'!$B$20+T148*'Sources &amp; Model'!$B$21)/SUM('Sources &amp; Model'!$B$13:$B$21))</x:f>
        <x:v>40.035133428094426</x:v>
      </x:c>
      <x:c r="V148" s="5" t="str">
        <x:v>Available</x:v>
      </x:c>
      <x:c r="W148" t="str">
        <x:v>https://help.fantasyfootballcalculator.com/article/42-adp-rest-api</x:v>
      </x:c>
    </x:row>
    <x:row r="149">
      <x:c r="A149" s="28" t="n">
        <x:v>145</x:v>
      </x:c>
      <x:c r="B149" s="28" t="str">
        <x:v>Mark Andrews</x:v>
      </x:c>
      <x:c r="C149" s="28" t="str">
        <x:v>TE</x:v>
      </x:c>
      <x:c r="D149" s="28" t="str">
        <x:v>BAL</x:v>
      </x:c>
      <x:c r="E149" s="81" t="n">
        <x:v>13</x:v>
      </x:c>
      <x:c r="F149" s="82" t="n">
        <x:v>137.8</x:v>
      </x:c>
      <x:c r="G149" s="82" t="n">
        <x:v>84</x:v>
      </x:c>
      <x:c r="H149" s="82" t="n">
        <x:v>178</x:v>
      </x:c>
      <x:c r="I149" s="82" t="n">
        <x:v>20.6</x:v>
      </x:c>
      <x:c r="J149" s="81" t="n">
        <x:v>357</x:v>
      </x:c>
      <x:c r="K149" s="81" t="n">
        <x:v>5</x:v>
      </x:c>
      <x:c r="L149" s="83" t="n">
        <x:f>MAX(0,MIN(100,100-((F149-1)/(MAX($F$5:$F$265)-1))*100))</x:f>
        <x:v>27.733755942947695</x:v>
      </x:c>
      <x:c r="M149" s="83" t="n">
        <x:f>MAX(0,MIN(100,50+(('Sources &amp; Model'!$B$4-F149)/('Sources &amp; Model'!$B$6*2.5))*45))</x:f>
        <x:v>0</x:v>
      </x:c>
      <x:c r="N149" s="83" t="n">
        <x:f>IF(V149="Mine",0,IF(OR(C149="RB",C149="WR"),MAX(30,62-COUNTIFS($C$5:$C$265,C149,$V$5:$V$265,"Mine")*5),IF(OR(C149="D/ST",C149="K"),IF('Sources &amp; Model'!$B$4&gt;='Sources &amp; Model'!$B$6*('Sources &amp; Model'!$B$8-2),62,12),IF(COUNTIFS($C$5:$C$265,C149,$V$5:$V$265,"Mine")=0,82,38))))</x:f>
        <x:v>82</x:v>
      </x:c>
      <x:c r="O149" s="65" t="n">
        <x:v>100</x:v>
      </x:c>
      <x:c r="P149" s="83" t="n">
        <x:f>MAX(0,MIN(100,100/(1+EXP(-(('Sources &amp; Model'!$B$5-F149)/MAX(2.5,I149))))))</x:f>
        <x:v>0.13043090273265756</x:v>
      </x:c>
      <x:c r="Q149" s="65" t="n">
        <x:v>90</x:v>
      </x:c>
      <x:c r="R149" s="65" t="n">
        <x:v>92</x:v>
      </x:c>
      <x:c r="S149" s="65" t="n">
        <x:v>31.7</x:v>
      </x:c>
      <x:c r="T149" s="65" t="n">
        <x:v>50.2</x:v>
      </x:c>
      <x:c r="U149" s="84" t="n">
        <x:f>IF(V149&lt;&gt;"Available","",(L149*'Sources &amp; Model'!$B$13+M149*'Sources &amp; Model'!$B$14+N149*'Sources &amp; Model'!$B$15+O149*'Sources &amp; Model'!$B$16+P149*'Sources &amp; Model'!$B$17+Q149*'Sources &amp; Model'!$B$18+R149*'Sources &amp; Model'!$B$19+S149*'Sources &amp; Model'!$B$20+T149*'Sources &amp; Model'!$B$21)/SUM('Sources &amp; Model'!$B$13:$B$21))</x:f>
        <x:v>43.958520110875476</x:v>
      </x:c>
      <x:c r="V149" s="5" t="str">
        <x:v>Available</x:v>
      </x:c>
      <x:c r="W149" t="str">
        <x:v>https://help.fantasyfootballcalculator.com/article/42-adp-rest-api</x:v>
      </x:c>
    </x:row>
    <x:row r="150">
      <x:c r="A150" s="28" t="n">
        <x:v>146</x:v>
      </x:c>
      <x:c r="B150" s="28" t="str">
        <x:v>Jason Myers</x:v>
      </x:c>
      <x:c r="C150" s="28" t="str">
        <x:v>K</x:v>
      </x:c>
      <x:c r="D150" s="28" t="str">
        <x:v>SEA</x:v>
      </x:c>
      <x:c r="E150" s="81" t="n">
        <x:v>11</x:v>
      </x:c>
      <x:c r="F150" s="82" t="n">
        <x:v>139.2</x:v>
      </x:c>
      <x:c r="G150" s="82" t="n">
        <x:v>91</x:v>
      </x:c>
      <x:c r="H150" s="82" t="n">
        <x:v>186</x:v>
      </x:c>
      <x:c r="I150" s="82" t="n">
        <x:v>18.5</x:v>
      </x:c>
      <x:c r="J150" s="81" t="n">
        <x:v>188</x:v>
      </x:c>
      <x:c r="K150" s="81" t="n">
        <x:v>2</x:v>
      </x:c>
      <x:c r="L150" s="83" t="n">
        <x:f>MAX(0,MIN(100,100-((F150-1)/(MAX($F$5:$F$265)-1))*100))</x:f>
        <x:v>26.994189117802435</x:v>
      </x:c>
      <x:c r="M150" s="83" t="n">
        <x:f>MAX(0,MIN(100,50+(('Sources &amp; Model'!$B$4-F150)/('Sources &amp; Model'!$B$6*2.5))*45))</x:f>
        <x:v>0</x:v>
      </x:c>
      <x:c r="N150" s="83" t="n">
        <x:f>IF(V150="Mine",0,IF(OR(C150="RB",C150="WR"),MAX(30,62-COUNTIFS($C$5:$C$265,C150,$V$5:$V$265,"Mine")*5),IF(OR(C150="D/ST",C150="K"),IF('Sources &amp; Model'!$B$4&gt;='Sources &amp; Model'!$B$6*('Sources &amp; Model'!$B$8-2),62,12),IF(COUNTIFS($C$5:$C$265,C150,$V$5:$V$265,"Mine")=0,82,38))))</x:f>
        <x:v>12</x:v>
      </x:c>
      <x:c r="O150" s="65" t="n">
        <x:v>55.2</x:v>
      </x:c>
      <x:c r="P150" s="83" t="n">
        <x:f>MAX(0,MIN(100,100/(1+EXP(-(('Sources &amp; Model'!$B$5-F150)/MAX(2.5,I150))))))</x:f>
        <x:v>0.05694498251506114</x:v>
      </x:c>
      <x:c r="Q150" s="65" t="n">
        <x:v>68</x:v>
      </x:c>
      <x:c r="R150" s="65" t="n">
        <x:v>92</x:v>
      </x:c>
      <x:c r="S150" s="65" t="n">
        <x:v>33.4</x:v>
      </x:c>
      <x:c r="T150" s="65" t="n">
        <x:v>50</x:v>
      </x:c>
      <x:c r="U150" s="84" t="n">
        <x:f>IF(V150&lt;&gt;"Available","",(L150*'Sources &amp; Model'!$B$13+M150*'Sources &amp; Model'!$B$14+N150*'Sources &amp; Model'!$B$15+O150*'Sources &amp; Model'!$B$16+P150*'Sources &amp; Model'!$B$17+Q150*'Sources &amp; Model'!$B$18+R150*'Sources &amp; Model'!$B$19+S150*'Sources &amp; Model'!$B$20+T150*'Sources &amp; Model'!$B$21)/SUM('Sources &amp; Model'!$B$13:$B$21))</x:f>
        <x:v>26.535718798304334</x:v>
      </x:c>
      <x:c r="V150" s="5" t="str">
        <x:v>Available</x:v>
      </x:c>
      <x:c r="W150" t="str">
        <x:v>https://help.fantasyfootballcalculator.com/article/42-adp-rest-api</x:v>
      </x:c>
    </x:row>
    <x:row r="151">
      <x:c r="A151" s="28" t="n">
        <x:v>147</x:v>
      </x:c>
      <x:c r="B151" s="28" t="str">
        <x:v>Theo Wease</x:v>
      </x:c>
      <x:c r="C151" s="28" t="str">
        <x:v>WR</x:v>
      </x:c>
      <x:c r="D151" s="28" t="str">
        <x:v>MIA</x:v>
      </x:c>
      <x:c r="E151" s="81" t="n">
        <x:v>6</x:v>
      </x:c>
      <x:c r="F151" s="82" t="n">
        <x:v>139.7</x:v>
      </x:c>
      <x:c r="G151" s="82" t="n">
        <x:v>125</x:v>
      </x:c>
      <x:c r="H151" s="82" t="n">
        <x:v>173</x:v>
      </x:c>
      <x:c r="I151" s="82" t="n">
        <x:v>8.5</x:v>
      </x:c>
      <x:c r="J151" s="81" t="n">
        <x:v>61</x:v>
      </x:c>
      <x:c r="K151" s="81" t="n">
        <x:v>8</x:v>
      </x:c>
      <x:c r="L151" s="83" t="n">
        <x:f>MAX(0,MIN(100,100-((F151-1)/(MAX($F$5:$F$265)-1))*100))</x:f>
        <x:v>26.730058108821993</x:v>
      </x:c>
      <x:c r="M151" s="83" t="n">
        <x:f>MAX(0,MIN(100,50+(('Sources &amp; Model'!$B$4-F151)/('Sources &amp; Model'!$B$6*2.5))*45))</x:f>
        <x:v>0</x:v>
      </x:c>
      <x:c r="N151" s="83" t="n">
        <x:f>IF(V151="Mine",0,IF(OR(C151="RB",C151="WR"),MAX(30,62-COUNTIFS($C$5:$C$265,C151,$V$5:$V$265,"Mine")*5),IF(OR(C151="D/ST",C151="K"),IF('Sources &amp; Model'!$B$4&gt;='Sources &amp; Model'!$B$6*('Sources &amp; Model'!$B$8-2),62,12),IF(COUNTIFS($C$5:$C$265,C151,$V$5:$V$265,"Mine")=0,82,38))))</x:f>
        <x:v>62</x:v>
      </x:c>
      <x:c r="O151" s="65" t="n">
        <x:v>70.1</x:v>
      </x:c>
      <x:c r="P151" s="83" t="n">
        <x:f>MAX(0,MIN(100,100/(1+EXP(-(('Sources &amp; Model'!$B$5-F151)/MAX(2.5,I151))))))</x:f>
        <x:v>0.0000081909804455308</x:v>
      </x:c>
      <x:c r="Q151" s="65" t="n">
        <x:v>90</x:v>
      </x:c>
      <x:c r="R151" s="65" t="n">
        <x:v>92</x:v>
      </x:c>
      <x:c r="S151" s="65" t="n">
        <x:v>50.9</x:v>
      </x:c>
      <x:c r="T151" s="65" t="n">
        <x:v>50</x:v>
      </x:c>
      <x:c r="U151" s="84" t="n">
        <x:f>IF(V151&lt;&gt;"Available","",(L151*'Sources &amp; Model'!$B$13+M151*'Sources &amp; Model'!$B$14+N151*'Sources &amp; Model'!$B$15+O151*'Sources &amp; Model'!$B$16+P151*'Sources &amp; Model'!$B$17+Q151*'Sources &amp; Model'!$B$18+R151*'Sources &amp; Model'!$B$19+S151*'Sources &amp; Model'!$B$20+T151*'Sources &amp; Model'!$B$21)/SUM('Sources &amp; Model'!$B$13:$B$21))</x:f>
        <x:v>37.39822057609752</x:v>
      </x:c>
      <x:c r="V151" s="5" t="str">
        <x:v>Available</x:v>
      </x:c>
      <x:c r="W151" t="str">
        <x:v>https://help.fantasyfootballcalculator.com/article/42-adp-rest-api</x:v>
      </x:c>
    </x:row>
    <x:row r="152">
      <x:c r="A152" s="28" t="n">
        <x:v>148</x:v>
      </x:c>
      <x:c r="B152" s="28" t="str">
        <x:v>Zach Charbonnet</x:v>
      </x:c>
      <x:c r="C152" s="28" t="str">
        <x:v>RB</x:v>
      </x:c>
      <x:c r="D152" s="28" t="str">
        <x:v>SEA</x:v>
      </x:c>
      <x:c r="E152" s="81" t="n">
        <x:v>11</x:v>
      </x:c>
      <x:c r="F152" s="82" t="n">
        <x:v>140.2</x:v>
      </x:c>
      <x:c r="G152" s="82" t="n">
        <x:v>95</x:v>
      </x:c>
      <x:c r="H152" s="82" t="n">
        <x:v>177</x:v>
      </x:c>
      <x:c r="I152" s="82" t="n">
        <x:v>17.3</x:v>
      </x:c>
      <x:c r="J152" s="81" t="n">
        <x:v>517</x:v>
      </x:c>
      <x:c r="K152" s="81" t="n">
        <x:v>9</x:v>
      </x:c>
      <x:c r="L152" s="83" t="n">
        <x:f>MAX(0,MIN(100,100-((F152-1)/(MAX($F$5:$F$265)-1))*100))</x:f>
        <x:v>26.465927099841537</x:v>
      </x:c>
      <x:c r="M152" s="83" t="n">
        <x:f>MAX(0,MIN(100,50+(('Sources &amp; Model'!$B$4-F152)/('Sources &amp; Model'!$B$6*2.5))*45))</x:f>
        <x:v>0</x:v>
      </x:c>
      <x:c r="N152" s="83" t="n">
        <x:f>IF(V152="Mine",0,IF(OR(C152="RB",C152="WR"),MAX(30,62-COUNTIFS($C$5:$C$265,C152,$V$5:$V$265,"Mine")*5),IF(OR(C152="D/ST",C152="K"),IF('Sources &amp; Model'!$B$4&gt;='Sources &amp; Model'!$B$6*('Sources &amp; Model'!$B$8-2),62,12),IF(COUNTIFS($C$5:$C$265,C152,$V$5:$V$265,"Mine")=0,82,38))))</x:f>
        <x:v>62</x:v>
      </x:c>
      <x:c r="O152" s="65" t="n">
        <x:v>53</x:v>
      </x:c>
      <x:c r="P152" s="83" t="n">
        <x:f>MAX(0,MIN(100,100/(1+EXP(-(('Sources &amp; Model'!$B$5-F152)/MAX(2.5,I152))))))</x:f>
        <x:v>0.0320200554268529</x:v>
      </x:c>
      <x:c r="Q152" s="65" t="n">
        <x:v>68</x:v>
      </x:c>
      <x:c r="R152" s="65" t="n">
        <x:v>6</x:v>
      </x:c>
      <x:c r="S152" s="65" t="n">
        <x:v>33.4</x:v>
      </x:c>
      <x:c r="T152" s="65" t="n">
        <x:v>49.5</x:v>
      </x:c>
      <x:c r="U152" s="84" t="n">
        <x:f>IF(V152&lt;&gt;"Available","",(L152*'Sources &amp; Model'!$B$13+M152*'Sources &amp; Model'!$B$14+N152*'Sources &amp; Model'!$B$15+O152*'Sources &amp; Model'!$B$16+P152*'Sources &amp; Model'!$B$17+Q152*'Sources &amp; Model'!$B$18+R152*'Sources &amp; Model'!$B$19+S152*'Sources &amp; Model'!$B$20+T152*'Sources &amp; Model'!$B$21)/SUM('Sources &amp; Model'!$B$13:$B$21))</x:f>
        <x:v>30.144617219488808</x:v>
      </x:c>
      <x:c r="V152" s="5" t="str">
        <x:v>Available</x:v>
      </x:c>
      <x:c r="W152" t="str">
        <x:v>https://help.fantasyfootballcalculator.com/article/42-adp-rest-api</x:v>
      </x:c>
    </x:row>
    <x:row r="153">
      <x:c r="A153" s="28" t="n">
        <x:v>149</x:v>
      </x:c>
      <x:c r="B153" s="28" t="str">
        <x:v>Kyler Murray</x:v>
      </x:c>
      <x:c r="C153" s="28" t="str">
        <x:v>QB</x:v>
      </x:c>
      <x:c r="D153" s="28" t="str">
        <x:v>MIN</x:v>
      </x:c>
      <x:c r="E153" s="81" t="n">
        <x:v>6</x:v>
      </x:c>
      <x:c r="F153" s="82" t="n">
        <x:v>140.8</x:v>
      </x:c>
      <x:c r="G153" s="82" t="n">
        <x:v>102</x:v>
      </x:c>
      <x:c r="H153" s="82" t="n">
        <x:v>176</x:v>
      </x:c>
      <x:c r="I153" s="82" t="n">
        <x:v>14.8</x:v>
      </x:c>
      <x:c r="J153" s="81" t="n">
        <x:v>421</x:v>
      </x:c>
      <x:c r="K153" s="81" t="n">
        <x:v>6</x:v>
      </x:c>
      <x:c r="L153" s="83" t="n">
        <x:f>MAX(0,MIN(100,100-((F153-1)/(MAX($F$5:$F$265)-1))*100))</x:f>
        <x:v>26.148969889064972</x:v>
      </x:c>
      <x:c r="M153" s="83" t="n">
        <x:f>MAX(0,MIN(100,50+(('Sources &amp; Model'!$B$4-F153)/('Sources &amp; Model'!$B$6*2.5))*45))</x:f>
        <x:v>0</x:v>
      </x:c>
      <x:c r="N153" s="83" t="n">
        <x:f>IF(V153="Mine",0,IF(OR(C153="RB",C153="WR"),MAX(30,62-COUNTIFS($C$5:$C$265,C153,$V$5:$V$265,"Mine")*5),IF(OR(C153="D/ST",C153="K"),IF('Sources &amp; Model'!$B$4&gt;='Sources &amp; Model'!$B$6*('Sources &amp; Model'!$B$8-2),62,12),IF(COUNTIFS($C$5:$C$265,C153,$V$5:$V$265,"Mine")=0,82,38))))</x:f>
        <x:v>82</x:v>
      </x:c>
      <x:c r="O153" s="65" t="n">
        <x:v>57.4</x:v>
      </x:c>
      <x:c r="P153" s="83" t="n">
        <x:f>MAX(0,MIN(100,100/(1+EXP(-(('Sources &amp; Model'!$B$5-F153)/MAX(2.5,I153))))))</x:f>
        <x:v>0.007900298257867939</x:v>
      </x:c>
      <x:c r="Q153" s="65" t="n">
        <x:v>90</x:v>
      </x:c>
      <x:c r="R153" s="65" t="n">
        <x:v>92</x:v>
      </x:c>
      <x:c r="S153" s="65" t="n">
        <x:v>53.6</x:v>
      </x:c>
      <x:c r="T153" s="65" t="n">
        <x:v>49.9</x:v>
      </x:c>
      <x:c r="U153" s="84" t="n">
        <x:f>IF(V153&lt;&gt;"Available","",(L153*'Sources &amp; Model'!$B$13+M153*'Sources &amp; Model'!$B$14+N153*'Sources &amp; Model'!$B$15+O153*'Sources &amp; Model'!$B$16+P153*'Sources &amp; Model'!$B$17+Q153*'Sources &amp; Model'!$B$18+R153*'Sources &amp; Model'!$B$19+S153*'Sources &amp; Model'!$B$20+T153*'Sources &amp; Model'!$B$21)/SUM('Sources &amp; Model'!$B$13:$B$21))</x:f>
        <x:v>38.73043979210788</x:v>
      </x:c>
      <x:c r="V153" s="5" t="str">
        <x:v>Available</x:v>
      </x:c>
      <x:c r="W153" t="str">
        <x:v>https://help.fantasyfootballcalculator.com/article/42-adp-rest-api</x:v>
      </x:c>
    </x:row>
    <x:row r="154">
      <x:c r="A154" s="28" t="n">
        <x:v>150</x:v>
      </x:c>
      <x:c r="B154" s="28" t="str">
        <x:v>Ka'imi Fairbairn</x:v>
      </x:c>
      <x:c r="C154" s="28" t="str">
        <x:v>K</x:v>
      </x:c>
      <x:c r="D154" s="28" t="str">
        <x:v>HOU</x:v>
      </x:c>
      <x:c r="E154" s="81" t="n">
        <x:v>8</x:v>
      </x:c>
      <x:c r="F154" s="82" t="n">
        <x:v>141.6</x:v>
      </x:c>
      <x:c r="G154" s="82" t="n">
        <x:v>90</x:v>
      </x:c>
      <x:c r="H154" s="82" t="n">
        <x:v>187</x:v>
      </x:c>
      <x:c r="I154" s="82" t="n">
        <x:v>19.8</x:v>
      </x:c>
      <x:c r="J154" s="81" t="n">
        <x:v>125</x:v>
      </x:c>
      <x:c r="K154" s="81" t="n">
        <x:v>2</x:v>
      </x:c>
      <x:c r="L154" s="83" t="n">
        <x:f>MAX(0,MIN(100,100-((F154-1)/(MAX($F$5:$F$265)-1))*100))</x:f>
        <x:v>25.726360274696262</x:v>
      </x:c>
      <x:c r="M154" s="83" t="n">
        <x:f>MAX(0,MIN(100,50+(('Sources &amp; Model'!$B$4-F154)/('Sources &amp; Model'!$B$6*2.5))*45))</x:f>
        <x:v>0</x:v>
      </x:c>
      <x:c r="N154" s="83" t="n">
        <x:f>IF(V154="Mine",0,IF(OR(C154="RB",C154="WR"),MAX(30,62-COUNTIFS($C$5:$C$265,C154,$V$5:$V$265,"Mine")*5),IF(OR(C154="D/ST",C154="K"),IF('Sources &amp; Model'!$B$4&gt;='Sources &amp; Model'!$B$6*('Sources &amp; Model'!$B$8-2),62,12),IF(COUNTIFS($C$5:$C$265,C154,$V$5:$V$265,"Mine")=0,82,38))))</x:f>
        <x:v>12</x:v>
      </x:c>
      <x:c r="O154" s="65" t="n">
        <x:v>59</x:v>
      </x:c>
      <x:c r="P154" s="83" t="n">
        <x:f>MAX(0,MIN(100,100/(1+EXP(-(('Sources &amp; Model'!$B$5-F154)/MAX(2.5,I154))))))</x:f>
        <x:v>0.0823593040132813</x:v>
      </x:c>
      <x:c r="Q154" s="65" t="n">
        <x:v>68</x:v>
      </x:c>
      <x:c r="R154" s="65" t="n">
        <x:v>92</x:v>
      </x:c>
      <x:c r="S154" s="65" t="n">
        <x:v>37.6</x:v>
      </x:c>
      <x:c r="T154" s="65" t="n">
        <x:v>50</x:v>
      </x:c>
      <x:c r="U154" s="84" t="n">
        <x:f>IF(V154&lt;&gt;"Available","",(L154*'Sources &amp; Model'!$B$13+M154*'Sources &amp; Model'!$B$14+N154*'Sources &amp; Model'!$B$15+O154*'Sources &amp; Model'!$B$16+P154*'Sources &amp; Model'!$B$17+Q154*'Sources &amp; Model'!$B$18+R154*'Sources &amp; Model'!$B$19+S154*'Sources &amp; Model'!$B$20+T154*'Sources &amp; Model'!$B$21)/SUM('Sources &amp; Model'!$B$13:$B$21))</x:f>
        <x:v>26.647198423798056</x:v>
      </x:c>
      <x:c r="V154" s="5" t="str">
        <x:v>Available</x:v>
      </x:c>
      <x:c r="W154" t="str">
        <x:v>https://help.fantasyfootballcalculator.com/article/42-adp-rest-api</x:v>
      </x:c>
    </x:row>
    <x:row r="155">
      <x:c r="A155" s="28" t="n">
        <x:v>151</x:v>
      </x:c>
      <x:c r="B155" s="28" t="str">
        <x:v>Alvin Kamara</x:v>
      </x:c>
      <x:c r="C155" s="28" t="str">
        <x:v>RB</x:v>
      </x:c>
      <x:c r="D155" s="28" t="str">
        <x:v>NO</x:v>
      </x:c>
      <x:c r="E155" s="81" t="n">
        <x:v>8</x:v>
      </x:c>
      <x:c r="F155" s="82" t="n">
        <x:v>142.2</x:v>
      </x:c>
      <x:c r="G155" s="82" t="n">
        <x:v>94</x:v>
      </x:c>
      <x:c r="H155" s="82" t="n">
        <x:v>179</x:v>
      </x:c>
      <x:c r="I155" s="82" t="n">
        <x:v>18.5</x:v>
      </x:c>
      <x:c r="J155" s="81" t="n">
        <x:v>345</x:v>
      </x:c>
      <x:c r="K155" s="81" t="n">
        <x:v>9</x:v>
      </x:c>
      <x:c r="L155" s="83" t="n">
        <x:f>MAX(0,MIN(100,100-((F155-1)/(MAX($F$5:$F$265)-1))*100))</x:f>
        <x:v>25.40940306391971</x:v>
      </x:c>
      <x:c r="M155" s="83" t="n">
        <x:f>MAX(0,MIN(100,50+(('Sources &amp; Model'!$B$4-F155)/('Sources &amp; Model'!$B$6*2.5))*45))</x:f>
        <x:v>0</x:v>
      </x:c>
      <x:c r="N155" s="83" t="n">
        <x:f>IF(V155="Mine",0,IF(OR(C155="RB",C155="WR"),MAX(30,62-COUNTIFS($C$5:$C$265,C155,$V$5:$V$265,"Mine")*5),IF(OR(C155="D/ST",C155="K"),IF('Sources &amp; Model'!$B$4&gt;='Sources &amp; Model'!$B$6*('Sources &amp; Model'!$B$8-2),62,12),IF(COUNTIFS($C$5:$C$265,C155,$V$5:$V$265,"Mine")=0,82,38))))</x:f>
        <x:v>62</x:v>
      </x:c>
      <x:c r="O155" s="65" t="n">
        <x:v>72.8</x:v>
      </x:c>
      <x:c r="P155" s="83" t="n">
        <x:f>MAX(0,MIN(100,100/(1+EXP(-(('Sources &amp; Model'!$B$5-F155)/MAX(2.5,I155))))))</x:f>
        <x:v>0.04842463485804073</x:v>
      </x:c>
      <x:c r="Q155" s="65" t="n">
        <x:v>68</x:v>
      </x:c>
      <x:c r="R155" s="65" t="n">
        <x:v>92</x:v>
      </x:c>
      <x:c r="S155" s="65" t="n">
        <x:v>47.2</x:v>
      </x:c>
      <x:c r="T155" s="65" t="n">
        <x:v>50</x:v>
      </x:c>
      <x:c r="U155" s="84" t="n">
        <x:f>IF(V155&lt;&gt;"Available","",(L155*'Sources &amp; Model'!$B$13+M155*'Sources &amp; Model'!$B$14+N155*'Sources &amp; Model'!$B$15+O155*'Sources &amp; Model'!$B$16+P155*'Sources &amp; Model'!$B$17+Q155*'Sources &amp; Model'!$B$18+R155*'Sources &amp; Model'!$B$19+S155*'Sources &amp; Model'!$B$20+T155*'Sources &amp; Model'!$B$21)/SUM('Sources &amp; Model'!$B$13:$B$21))</x:f>
        <x:v>35.8840395052185</x:v>
      </x:c>
      <x:c r="V155" s="5" t="str">
        <x:v>Available</x:v>
      </x:c>
      <x:c r="W155" t="str">
        <x:v>https://help.fantasyfootballcalculator.com/article/42-adp-rest-api</x:v>
      </x:c>
    </x:row>
    <x:row r="156">
      <x:c r="A156" s="28" t="n">
        <x:v>152</x:v>
      </x:c>
      <x:c r="B156" s="28" t="str">
        <x:v>Sam Darnold</x:v>
      </x:c>
      <x:c r="C156" s="28" t="str">
        <x:v>QB</x:v>
      </x:c>
      <x:c r="D156" s="28" t="str">
        <x:v>SEA</x:v>
      </x:c>
      <x:c r="E156" s="81" t="n">
        <x:v>11</x:v>
      </x:c>
      <x:c r="F156" s="82" t="n">
        <x:v>143.6</x:v>
      </x:c>
      <x:c r="G156" s="82" t="n">
        <x:v>115</x:v>
      </x:c>
      <x:c r="H156" s="82" t="n">
        <x:v>174</x:v>
      </x:c>
      <x:c r="I156" s="82" t="n">
        <x:v>11.8</x:v>
      </x:c>
      <x:c r="J156" s="81" t="n">
        <x:v>96</x:v>
      </x:c>
      <x:c r="K156" s="81" t="n">
        <x:v>6</x:v>
      </x:c>
      <x:c r="L156" s="83" t="n">
        <x:f>MAX(0,MIN(100,100-((F156-1)/(MAX($F$5:$F$265)-1))*100))</x:f>
        <x:v>24.669836238774437</x:v>
      </x:c>
      <x:c r="M156" s="83" t="n">
        <x:f>MAX(0,MIN(100,50+(('Sources &amp; Model'!$B$4-F156)/('Sources &amp; Model'!$B$6*2.5))*45))</x:f>
        <x:v>0</x:v>
      </x:c>
      <x:c r="N156" s="83" t="n">
        <x:f>IF(V156="Mine",0,IF(OR(C156="RB",C156="WR"),MAX(30,62-COUNTIFS($C$5:$C$265,C156,$V$5:$V$265,"Mine")*5),IF(OR(C156="D/ST",C156="K"),IF('Sources &amp; Model'!$B$4&gt;='Sources &amp; Model'!$B$6*('Sources &amp; Model'!$B$8-2),62,12),IF(COUNTIFS($C$5:$C$265,C156,$V$5:$V$265,"Mine")=0,82,38))))</x:f>
        <x:v>82</x:v>
      </x:c>
      <x:c r="O156" s="65" t="n">
        <x:v>48.6</x:v>
      </x:c>
      <x:c r="P156" s="83" t="n">
        <x:f>MAX(0,MIN(100,100/(1+EXP(-(('Sources &amp; Model'!$B$5-F156)/MAX(2.5,I156))))))</x:f>
        <x:v>0.000564493763832024</x:v>
      </x:c>
      <x:c r="Q156" s="65" t="n">
        <x:v>90</x:v>
      </x:c>
      <x:c r="R156" s="65" t="n">
        <x:v>92</x:v>
      </x:c>
      <x:c r="S156" s="65" t="n">
        <x:v>33.4</x:v>
      </x:c>
      <x:c r="T156" s="65" t="n">
        <x:v>48.8</x:v>
      </x:c>
      <x:c r="U156" s="84" t="n">
        <x:f>IF(V156&lt;&gt;"Available","",(L156*'Sources &amp; Model'!$B$13+M156*'Sources &amp; Model'!$B$14+N156*'Sources &amp; Model'!$B$15+O156*'Sources &amp; Model'!$B$16+P156*'Sources &amp; Model'!$B$17+Q156*'Sources &amp; Model'!$B$18+R156*'Sources &amp; Model'!$B$19+S156*'Sources &amp; Model'!$B$20+T156*'Sources &amp; Model'!$B$21)/SUM('Sources &amp; Model'!$B$13:$B$21))</x:f>
        <x:v>36.755800770559695</x:v>
      </x:c>
      <x:c r="V156" s="5" t="str">
        <x:v>Available</x:v>
      </x:c>
      <x:c r="W156" t="str">
        <x:v>https://help.fantasyfootballcalculator.com/article/42-adp-rest-api</x:v>
      </x:c>
    </x:row>
    <x:row r="157">
      <x:c r="A157" s="28" t="n">
        <x:v>153</x:v>
      </x:c>
      <x:c r="B157" s="28" t="str">
        <x:v>PIT Defense</x:v>
      </x:c>
      <x:c r="C157" s="28" t="str">
        <x:v>D/ST</x:v>
      </x:c>
      <x:c r="D157" s="28" t="str">
        <x:v>PIT</x:v>
      </x:c>
      <x:c r="E157" s="81" t="n">
        <x:v>9</x:v>
      </x:c>
      <x:c r="F157" s="82" t="n">
        <x:v>143.8</x:v>
      </x:c>
      <x:c r="G157" s="82" t="n">
        <x:v>98</x:v>
      </x:c>
      <x:c r="H157" s="82" t="n">
        <x:v>180</x:v>
      </x:c>
      <x:c r="I157" s="82" t="n">
        <x:v>17.4</x:v>
      </x:c>
      <x:c r="J157" s="81" t="n">
        <x:v>313</x:v>
      </x:c>
      <x:c r="K157" s="81" t="n">
        <x:v>3</x:v>
      </x:c>
      <x:c r="L157" s="83" t="n">
        <x:f>MAX(0,MIN(100,100-((F157-1)/(MAX($F$5:$F$265)-1))*100))</x:f>
        <x:v>24.56418383518225</x:v>
      </x:c>
      <x:c r="M157" s="83" t="n">
        <x:f>MAX(0,MIN(100,50+(('Sources &amp; Model'!$B$4-F157)/('Sources &amp; Model'!$B$6*2.5))*45))</x:f>
        <x:v>0</x:v>
      </x:c>
      <x:c r="N157" s="83" t="n">
        <x:f>IF(V157="Mine",0,IF(OR(C157="RB",C157="WR"),MAX(30,62-COUNTIFS($C$5:$C$265,C157,$V$5:$V$265,"Mine")*5),IF(OR(C157="D/ST",C157="K"),IF('Sources &amp; Model'!$B$4&gt;='Sources &amp; Model'!$B$6*('Sources &amp; Model'!$B$8-2),62,12),IF(COUNTIFS($C$5:$C$265,C157,$V$5:$V$265,"Mine")=0,82,38))))</x:f>
        <x:v>12</x:v>
      </x:c>
      <x:c r="O157" s="65" t="n">
        <x:v>48</x:v>
      </x:c>
      <x:c r="P157" s="83" t="n">
        <x:f>MAX(0,MIN(100,100/(1+EXP(-(('Sources &amp; Model'!$B$5-F157)/MAX(2.5,I157))))))</x:f>
        <x:v>0.027269154306558855</x:v>
      </x:c>
      <x:c r="Q157" s="65" t="n">
        <x:v>68</x:v>
      </x:c>
      <x:c r="R157" s="65" t="n">
        <x:v>92</x:v>
      </x:c>
      <x:c r="S157" s="65" t="n">
        <x:v>33.7</x:v>
      </x:c>
      <x:c r="T157" s="65" t="n">
        <x:v>50</x:v>
      </x:c>
      <x:c r="U157" s="84" t="n">
        <x:f>IF(V157&lt;&gt;"Available","",(L157*'Sources &amp; Model'!$B$13+M157*'Sources &amp; Model'!$B$14+N157*'Sources &amp; Model'!$B$15+O157*'Sources &amp; Model'!$B$16+P157*'Sources &amp; Model'!$B$17+Q157*'Sources &amp; Model'!$B$18+R157*'Sources &amp; Model'!$B$19+S157*'Sources &amp; Model'!$B$20+T157*'Sources &amp; Model'!$B$21)/SUM('Sources &amp; Model'!$B$13:$B$21))</x:f>
        <x:v>24.848549419392622</x:v>
      </x:c>
      <x:c r="V157" s="5" t="str">
        <x:v>Available</x:v>
      </x:c>
      <x:c r="W157" t="str">
        <x:v>https://help.fantasyfootballcalculator.com/article/42-adp-rest-api</x:v>
      </x:c>
    </x:row>
    <x:row r="158">
      <x:c r="A158" s="28" t="n">
        <x:v>154</x:v>
      </x:c>
      <x:c r="B158" s="28" t="str">
        <x:v>Cameron Dicker</x:v>
      </x:c>
      <x:c r="C158" s="28" t="str">
        <x:v>K</x:v>
      </x:c>
      <x:c r="D158" s="28" t="str">
        <x:v>LAC</x:v>
      </x:c>
      <x:c r="E158" s="81" t="n">
        <x:v>7</x:v>
      </x:c>
      <x:c r="F158" s="82" t="n">
        <x:v>144.7</x:v>
      </x:c>
      <x:c r="G158" s="82" t="n">
        <x:v>95</x:v>
      </x:c>
      <x:c r="H158" s="82" t="n">
        <x:v>190</x:v>
      </x:c>
      <x:c r="I158" s="82" t="n">
        <x:v>18.9</x:v>
      </x:c>
      <x:c r="J158" s="81" t="n">
        <x:v>196</x:v>
      </x:c>
      <x:c r="K158" s="81" t="n">
        <x:v>2</x:v>
      </x:c>
      <x:c r="L158" s="83" t="n">
        <x:f>MAX(0,MIN(100,100-((F158-1)/(MAX($F$5:$F$265)-1))*100))</x:f>
        <x:v>24.088748019017444</x:v>
      </x:c>
      <x:c r="M158" s="83" t="n">
        <x:f>MAX(0,MIN(100,50+(('Sources &amp; Model'!$B$4-F158)/('Sources &amp; Model'!$B$6*2.5))*45))</x:f>
        <x:v>0</x:v>
      </x:c>
      <x:c r="N158" s="83" t="n">
        <x:f>IF(V158="Mine",0,IF(OR(C158="RB",C158="WR"),MAX(30,62-COUNTIFS($C$5:$C$265,C158,$V$5:$V$265,"Mine")*5),IF(OR(C158="D/ST",C158="K"),IF('Sources &amp; Model'!$B$4&gt;='Sources &amp; Model'!$B$6*('Sources &amp; Model'!$B$8-2),62,12),IF(COUNTIFS($C$5:$C$265,C158,$V$5:$V$265,"Mine")=0,82,38))))</x:f>
        <x:v>12</x:v>
      </x:c>
      <x:c r="O158" s="65" t="n">
        <x:v>69</x:v>
      </x:c>
      <x:c r="P158" s="83" t="n">
        <x:f>MAX(0,MIN(100,100/(1+EXP(-(('Sources &amp; Model'!$B$5-F158)/MAX(2.5,I158))))))</x:f>
        <x:v>0.049861647544928896</x:v>
      </x:c>
      <x:c r="Q158" s="65" t="n">
        <x:v>68</x:v>
      </x:c>
      <x:c r="R158" s="65" t="n">
        <x:v>92</x:v>
      </x:c>
      <x:c r="S158" s="65" t="n">
        <x:v>54.4</x:v>
      </x:c>
      <x:c r="T158" s="65" t="n">
        <x:v>50</x:v>
      </x:c>
      <x:c r="U158" s="84" t="n">
        <x:f>IF(V158&lt;&gt;"Available","",(L158*'Sources &amp; Model'!$B$13+M158*'Sources &amp; Model'!$B$14+N158*'Sources &amp; Model'!$B$15+O158*'Sources &amp; Model'!$B$16+P158*'Sources &amp; Model'!$B$17+Q158*'Sources &amp; Model'!$B$18+R158*'Sources &amp; Model'!$B$19+S158*'Sources &amp; Model'!$B$20+T158*'Sources &amp; Model'!$B$21)/SUM('Sources &amp; Model'!$B$13:$B$21))</x:f>
        <x:v>27.623160491220425</x:v>
      </x:c>
      <x:c r="V158" s="5" t="str">
        <x:v>Available</x:v>
      </x:c>
      <x:c r="W158" t="str">
        <x:v>https://help.fantasyfootballcalculator.com/article/42-adp-rest-api</x:v>
      </x:c>
    </x:row>
    <x:row r="159">
      <x:c r="A159" s="28" t="n">
        <x:v>155</x:v>
      </x:c>
      <x:c r="B159" s="28" t="str">
        <x:v>Jauan Jennings</x:v>
      </x:c>
      <x:c r="C159" s="28" t="str">
        <x:v>WR</x:v>
      </x:c>
      <x:c r="D159" s="28" t="str">
        <x:v>MIN</x:v>
      </x:c>
      <x:c r="E159" s="81" t="n">
        <x:v>6</x:v>
      </x:c>
      <x:c r="F159" s="82" t="n">
        <x:v>144.8</x:v>
      </x:c>
      <x:c r="G159" s="82" t="n">
        <x:v>114</x:v>
      </x:c>
      <x:c r="H159" s="82" t="n">
        <x:v>180</x:v>
      </x:c>
      <x:c r="I159" s="82" t="n">
        <x:v>11.7</x:v>
      </x:c>
      <x:c r="J159" s="81" t="n">
        <x:v>63</x:v>
      </x:c>
      <x:c r="K159" s="81" t="n">
        <x:v>8</x:v>
      </x:c>
      <x:c r="L159" s="83" t="n">
        <x:f>MAX(0,MIN(100,100-((F159-1)/(MAX($F$5:$F$265)-1))*100))</x:f>
        <x:v>24.035921817221336</x:v>
      </x:c>
      <x:c r="M159" s="83" t="n">
        <x:f>MAX(0,MIN(100,50+(('Sources &amp; Model'!$B$4-F159)/('Sources &amp; Model'!$B$6*2.5))*45))</x:f>
        <x:v>0</x:v>
      </x:c>
      <x:c r="N159" s="83" t="n">
        <x:f>IF(V159="Mine",0,IF(OR(C159="RB",C159="WR"),MAX(30,62-COUNTIFS($C$5:$C$265,C159,$V$5:$V$265,"Mine")*5),IF(OR(C159="D/ST",C159="K"),IF('Sources &amp; Model'!$B$4&gt;='Sources &amp; Model'!$B$6*('Sources &amp; Model'!$B$8-2),62,12),IF(COUNTIFS($C$5:$C$265,C159,$V$5:$V$265,"Mine")=0,82,38))))</x:f>
        <x:v>62</x:v>
      </x:c>
      <x:c r="O159" s="65" t="n">
        <x:v>43.1</x:v>
      </x:c>
      <x:c r="P159" s="83" t="n">
        <x:f>MAX(0,MIN(100,100/(1+EXP(-(('Sources &amp; Model'!$B$5-F159)/MAX(2.5,I159))))))</x:f>
        <x:v>0.0004594719331398849</x:v>
      </x:c>
      <x:c r="Q159" s="65" t="n">
        <x:v>50</x:v>
      </x:c>
      <x:c r="R159" s="65" t="n">
        <x:v>92</x:v>
      </x:c>
      <x:c r="S159" s="65" t="n">
        <x:v>53.6</x:v>
      </x:c>
      <x:c r="T159" s="65" t="n">
        <x:v>50.9</x:v>
      </x:c>
      <x:c r="U159" s="84" t="n">
        <x:f>IF(V159&lt;&gt;"Available","",(L159*'Sources &amp; Model'!$B$13+M159*'Sources &amp; Model'!$B$14+N159*'Sources &amp; Model'!$B$15+O159*'Sources &amp; Model'!$B$16+P159*'Sources &amp; Model'!$B$17+Q159*'Sources &amp; Model'!$B$18+R159*'Sources &amp; Model'!$B$19+S159*'Sources &amp; Model'!$B$20+T159*'Sources &amp; Model'!$B$21)/SUM('Sources &amp; Model'!$B$13:$B$21))</x:f>
        <x:v>30.905259365048565</x:v>
      </x:c>
      <x:c r="V159" s="5" t="str">
        <x:v>Available</x:v>
      </x:c>
      <x:c r="W159" t="str">
        <x:v>https://help.fantasyfootballcalculator.com/article/42-adp-rest-api</x:v>
      </x:c>
    </x:row>
    <x:row r="160">
      <x:c r="A160" s="28" t="n">
        <x:v>156</x:v>
      </x:c>
      <x:c r="B160" s="28" t="str">
        <x:v>Jordan Love</x:v>
      </x:c>
      <x:c r="C160" s="28" t="str">
        <x:v>QB</x:v>
      </x:c>
      <x:c r="D160" s="28" t="str">
        <x:v>GB</x:v>
      </x:c>
      <x:c r="E160" s="81" t="n">
        <x:v>11</x:v>
      </x:c>
      <x:c r="F160" s="82" t="n">
        <x:v>144.8</x:v>
      </x:c>
      <x:c r="G160" s="82" t="n">
        <x:v>111</x:v>
      </x:c>
      <x:c r="H160" s="82" t="n">
        <x:v>176</x:v>
      </x:c>
      <x:c r="I160" s="82" t="n">
        <x:v>13</x:v>
      </x:c>
      <x:c r="J160" s="81" t="n">
        <x:v>253</x:v>
      </x:c>
      <x:c r="K160" s="81" t="n">
        <x:v>6</x:v>
      </x:c>
      <x:c r="L160" s="83" t="n">
        <x:f>MAX(0,MIN(100,100-((F160-1)/(MAX($F$5:$F$265)-1))*100))</x:f>
        <x:v>24.035921817221336</x:v>
      </x:c>
      <x:c r="M160" s="83" t="n">
        <x:f>MAX(0,MIN(100,50+(('Sources &amp; Model'!$B$4-F160)/('Sources &amp; Model'!$B$6*2.5))*45))</x:f>
        <x:v>0</x:v>
      </x:c>
      <x:c r="N160" s="83" t="n">
        <x:f>IF(V160="Mine",0,IF(OR(C160="RB",C160="WR"),MAX(30,62-COUNTIFS($C$5:$C$265,C160,$V$5:$V$265,"Mine")*5),IF(OR(C160="D/ST",C160="K"),IF('Sources &amp; Model'!$B$4&gt;='Sources &amp; Model'!$B$6*('Sources &amp; Model'!$B$8-2),62,12),IF(COUNTIFS($C$5:$C$265,C160,$V$5:$V$265,"Mine")=0,82,38))))</x:f>
        <x:v>82</x:v>
      </x:c>
      <x:c r="O160" s="65" t="n">
        <x:v>83.8</x:v>
      </x:c>
      <x:c r="P160" s="83" t="n">
        <x:f>MAX(0,MIN(100,100/(1+EXP(-(('Sources &amp; Model'!$B$5-F160)/MAX(2.5,I160))))))</x:f>
        <x:v>0.0015704642851458155</x:v>
      </x:c>
      <x:c r="Q160" s="65" t="n">
        <x:v>90</x:v>
      </x:c>
      <x:c r="R160" s="65" t="n">
        <x:v>92</x:v>
      </x:c>
      <x:c r="S160" s="65" t="n">
        <x:v>41.8</x:v>
      </x:c>
      <x:c r="T160" s="65" t="n">
        <x:v>49.5</x:v>
      </x:c>
      <x:c r="U160" s="84" t="n">
        <x:f>IF(V160&lt;&gt;"Available","",(L160*'Sources &amp; Model'!$B$13+M160*'Sources &amp; Model'!$B$14+N160*'Sources &amp; Model'!$B$15+O160*'Sources &amp; Model'!$B$16+P160*'Sources &amp; Model'!$B$17+Q160*'Sources &amp; Model'!$B$18+R160*'Sources &amp; Model'!$B$19+S160*'Sources &amp; Model'!$B$20+T160*'Sources &amp; Model'!$B$21)/SUM('Sources &amp; Model'!$B$13:$B$21))</x:f>
        <x:v>40.93937046428377</x:v>
      </x:c>
      <x:c r="V160" s="5" t="str">
        <x:v>Available</x:v>
      </x:c>
      <x:c r="W160" t="str">
        <x:v>https://help.fantasyfootballcalculator.com/article/42-adp-rest-api</x:v>
      </x:c>
    </x:row>
    <x:row r="161">
      <x:c r="A161" s="28" t="n">
        <x:v>157</x:v>
      </x:c>
      <x:c r="B161" s="28" t="str">
        <x:v>LAC Defense</x:v>
      </x:c>
      <x:c r="C161" s="28" t="str">
        <x:v>D/ST</x:v>
      </x:c>
      <x:c r="D161" s="28" t="str">
        <x:v>LAC</x:v>
      </x:c>
      <x:c r="E161" s="81" t="n">
        <x:v>7</x:v>
      </x:c>
      <x:c r="F161" s="82" t="n">
        <x:v>144.9</x:v>
      </x:c>
      <x:c r="G161" s="82" t="n">
        <x:v>110</x:v>
      </x:c>
      <x:c r="H161" s="82" t="n">
        <x:v>192</x:v>
      </x:c>
      <x:c r="I161" s="82" t="n">
        <x:v>15.1</x:v>
      </x:c>
      <x:c r="J161" s="81" t="n">
        <x:v>487</x:v>
      </x:c>
      <x:c r="K161" s="81" t="n">
        <x:v>3</x:v>
      </x:c>
      <x:c r="L161" s="83" t="n">
        <x:f>MAX(0,MIN(100,100-((F161-1)/(MAX($F$5:$F$265)-1))*100))</x:f>
        <x:v>23.983095615425256</x:v>
      </x:c>
      <x:c r="M161" s="83" t="n">
        <x:f>MAX(0,MIN(100,50+(('Sources &amp; Model'!$B$4-F161)/('Sources &amp; Model'!$B$6*2.5))*45))</x:f>
        <x:v>0</x:v>
      </x:c>
      <x:c r="N161" s="83" t="n">
        <x:f>IF(V161="Mine",0,IF(OR(C161="RB",C161="WR"),MAX(30,62-COUNTIFS($C$5:$C$265,C161,$V$5:$V$265,"Mine")*5),IF(OR(C161="D/ST",C161="K"),IF('Sources &amp; Model'!$B$4&gt;='Sources &amp; Model'!$B$6*('Sources &amp; Model'!$B$8-2),62,12),IF(COUNTIFS($C$5:$C$265,C161,$V$5:$V$265,"Mine")=0,82,38))))</x:f>
        <x:v>12</x:v>
      </x:c>
      <x:c r="O161" s="65" t="n">
        <x:v>46.4</x:v>
      </x:c>
      <x:c r="P161" s="83" t="n">
        <x:f>MAX(0,MIN(100,100/(1+EXP(-(('Sources &amp; Model'!$B$5-F161)/MAX(2.5,I161))))))</x:f>
        <x:v>0.0072648778911002425</x:v>
      </x:c>
      <x:c r="Q161" s="65" t="n">
        <x:v>68</x:v>
      </x:c>
      <x:c r="R161" s="65" t="n">
        <x:v>92</x:v>
      </x:c>
      <x:c r="S161" s="65" t="n">
        <x:v>54.4</x:v>
      </x:c>
      <x:c r="T161" s="65" t="n">
        <x:v>50</x:v>
      </x:c>
      <x:c r="U161" s="84" t="n">
        <x:f>IF(V161&lt;&gt;"Available","",(L161*'Sources &amp; Model'!$B$13+M161*'Sources &amp; Model'!$B$14+N161*'Sources &amp; Model'!$B$15+O161*'Sources &amp; Model'!$B$16+P161*'Sources &amp; Model'!$B$17+Q161*'Sources &amp; Model'!$B$18+R161*'Sources &amp; Model'!$B$19+S161*'Sources &amp; Model'!$B$20+T161*'Sources &amp; Model'!$B$21)/SUM('Sources &amp; Model'!$B$13:$B$21))</x:f>
        <x:v>24.8709789970337</x:v>
      </x:c>
      <x:c r="V161" s="5" t="str">
        <x:v>Available</x:v>
      </x:c>
      <x:c r="W161" t="str">
        <x:v>https://help.fantasyfootballcalculator.com/article/42-adp-rest-api</x:v>
      </x:c>
    </x:row>
    <x:row r="162">
      <x:c r="A162" s="28" t="n">
        <x:v>158</x:v>
      </x:c>
      <x:c r="B162" s="28" t="str">
        <x:v>Jalen McMillan</x:v>
      </x:c>
      <x:c r="C162" s="28" t="str">
        <x:v>WR</x:v>
      </x:c>
      <x:c r="D162" s="28" t="str">
        <x:v>TB</x:v>
      </x:c>
      <x:c r="E162" s="81" t="n">
        <x:v>10</x:v>
      </x:c>
      <x:c r="F162" s="82" t="n">
        <x:v>145</x:v>
      </x:c>
      <x:c r="G162" s="82" t="n">
        <x:v>100</x:v>
      </x:c>
      <x:c r="H162" s="82" t="n">
        <x:v>179</x:v>
      </x:c>
      <x:c r="I162" s="82" t="n">
        <x:v>17.3</x:v>
      </x:c>
      <x:c r="J162" s="81" t="n">
        <x:v>144</x:v>
      </x:c>
      <x:c r="K162" s="81" t="n">
        <x:v>9</x:v>
      </x:c>
      <x:c r="L162" s="83" t="n">
        <x:f>MAX(0,MIN(100,100-((F162-1)/(MAX($F$5:$F$265)-1))*100))</x:f>
        <x:v>23.930269413629162</x:v>
      </x:c>
      <x:c r="M162" s="83" t="n">
        <x:f>MAX(0,MIN(100,50+(('Sources &amp; Model'!$B$4-F162)/('Sources &amp; Model'!$B$6*2.5))*45))</x:f>
        <x:v>0</x:v>
      </x:c>
      <x:c r="N162" s="83" t="n">
        <x:f>IF(V162="Mine",0,IF(OR(C162="RB",C162="WR"),MAX(30,62-COUNTIFS($C$5:$C$265,C162,$V$5:$V$265,"Mine")*5),IF(OR(C162="D/ST",C162="K"),IF('Sources &amp; Model'!$B$4&gt;='Sources &amp; Model'!$B$6*('Sources &amp; Model'!$B$8-2),62,12),IF(COUNTIFS($C$5:$C$265,C162,$V$5:$V$265,"Mine")=0,82,38))))</x:f>
        <x:v>62</x:v>
      </x:c>
      <x:c r="O162" s="65" t="n">
        <x:v>45.8</x:v>
      </x:c>
      <x:c r="P162" s="83" t="n">
        <x:f>MAX(0,MIN(100,100/(1+EXP(-(('Sources &amp; Model'!$B$5-F162)/MAX(2.5,I162))))))</x:f>
        <x:v>0.024263747794002352</x:v>
      </x:c>
      <x:c r="Q162" s="65" t="n">
        <x:v>50</x:v>
      </x:c>
      <x:c r="R162" s="65" t="n">
        <x:v>52</x:v>
      </x:c>
      <x:c r="S162" s="65" t="n">
        <x:v>43.9</x:v>
      </x:c>
      <x:c r="T162" s="65" t="n">
        <x:v>50</x:v>
      </x:c>
      <x:c r="U162" s="84" t="n">
        <x:f>IF(V162&lt;&gt;"Available","",(L162*'Sources &amp; Model'!$B$13+M162*'Sources &amp; Model'!$B$14+N162*'Sources &amp; Model'!$B$15+O162*'Sources &amp; Model'!$B$16+P162*'Sources &amp; Model'!$B$17+Q162*'Sources &amp; Model'!$B$18+R162*'Sources &amp; Model'!$B$19+S162*'Sources &amp; Model'!$B$20+T162*'Sources &amp; Model'!$B$21)/SUM('Sources &amp; Model'!$B$13:$B$21))</x:f>
        <x:v>29.39271797541332</x:v>
      </x:c>
      <x:c r="V162" s="5" t="str">
        <x:v>Available</x:v>
      </x:c>
      <x:c r="W162" t="str">
        <x:v>https://help.fantasyfootballcalculator.com/article/42-adp-rest-api</x:v>
      </x:c>
    </x:row>
    <x:row r="163">
      <x:c r="A163" s="28" t="n">
        <x:v>159</x:v>
      </x:c>
      <x:c r="B163" s="28" t="str">
        <x:v>Chimere Dike</x:v>
      </x:c>
      <x:c r="C163" s="28" t="str">
        <x:v>WR</x:v>
      </x:c>
      <x:c r="D163" s="28" t="str">
        <x:v>TEN</x:v>
      </x:c>
      <x:c r="E163" s="81" t="n">
        <x:v>9</x:v>
      </x:c>
      <x:c r="F163" s="82" t="n">
        <x:v>145.7</x:v>
      </x:c>
      <x:c r="G163" s="82" t="n">
        <x:v>135</x:v>
      </x:c>
      <x:c r="H163" s="82" t="n">
        <x:v>173</x:v>
      </x:c>
      <x:c r="I163" s="82" t="n">
        <x:v>14.9</x:v>
      </x:c>
      <x:c r="J163" s="81" t="n">
        <x:v>6</x:v>
      </x:c>
      <x:c r="K163" s="81" t="n">
        <x:v>9</x:v>
      </x:c>
      <x:c r="L163" s="83" t="n">
        <x:f>MAX(0,MIN(100,100-((F163-1)/(MAX($F$5:$F$265)-1))*100))</x:f>
        <x:v>23.560486001056532</x:v>
      </x:c>
      <x:c r="M163" s="83" t="n">
        <x:f>MAX(0,MIN(100,50+(('Sources &amp; Model'!$B$4-F163)/('Sources &amp; Model'!$B$6*2.5))*45))</x:f>
        <x:v>0</x:v>
      </x:c>
      <x:c r="N163" s="83" t="n">
        <x:f>IF(V163="Mine",0,IF(OR(C163="RB",C163="WR"),MAX(30,62-COUNTIFS($C$5:$C$265,C163,$V$5:$V$265,"Mine")*5),IF(OR(C163="D/ST",C163="K"),IF('Sources &amp; Model'!$B$4&gt;='Sources &amp; Model'!$B$6*('Sources &amp; Model'!$B$8-2),62,12),IF(COUNTIFS($C$5:$C$265,C163,$V$5:$V$265,"Mine")=0,82,38))))</x:f>
        <x:v>62</x:v>
      </x:c>
      <x:c r="O163" s="65" t="n">
        <x:v>49.7</x:v>
      </x:c>
      <x:c r="P163" s="83" t="n">
        <x:f>MAX(0,MIN(100,100/(1+EXP(-(('Sources &amp; Model'!$B$5-F163)/MAX(2.5,I163))))))</x:f>
        <x:v>0.006058459031846593</x:v>
      </x:c>
      <x:c r="Q163" s="65" t="n">
        <x:v>35</x:v>
      </x:c>
      <x:c r="R163" s="65" t="n">
        <x:v>92</x:v>
      </x:c>
      <x:c r="S163" s="65" t="n">
        <x:v>50.9</x:v>
      </x:c>
      <x:c r="T163" s="65" t="n">
        <x:v>50</x:v>
      </x:c>
      <x:c r="U163" s="84" t="n">
        <x:f>IF(V163&lt;&gt;"Available","",(L163*'Sources &amp; Model'!$B$13+M163*'Sources &amp; Model'!$B$14+N163*'Sources &amp; Model'!$B$15+O163*'Sources &amp; Model'!$B$16+P163*'Sources &amp; Model'!$B$17+Q163*'Sources &amp; Model'!$B$18+R163*'Sources &amp; Model'!$B$19+S163*'Sources &amp; Model'!$B$20+T163*'Sources &amp; Model'!$B$21)/SUM('Sources &amp; Model'!$B$13:$B$21))</x:f>
        <x:v>30.573171086262406</x:v>
      </x:c>
      <x:c r="V163" s="5" t="str">
        <x:v>Available</x:v>
      </x:c>
      <x:c r="W163" t="str">
        <x:v>https://help.fantasyfootballcalculator.com/article/42-adp-rest-api</x:v>
      </x:c>
    </x:row>
    <x:row r="164">
      <x:c r="A164" s="28" t="n">
        <x:v>160</x:v>
      </x:c>
      <x:c r="B164" s="28" t="str">
        <x:v>SF Defense</x:v>
      </x:c>
      <x:c r="C164" s="28" t="str">
        <x:v>D/ST</x:v>
      </x:c>
      <x:c r="D164" s="28" t="str">
        <x:v>SF</x:v>
      </x:c>
      <x:c r="E164" s="81" t="n">
        <x:v>8</x:v>
      </x:c>
      <x:c r="F164" s="82" t="n">
        <x:v>145.7</x:v>
      </x:c>
      <x:c r="G164" s="82" t="n">
        <x:v>1</x:v>
      </x:c>
      <x:c r="H164" s="82" t="n">
        <x:v>204</x:v>
      </x:c>
      <x:c r="I164" s="82" t="n">
        <x:v>69.3</x:v>
      </x:c>
      <x:c r="J164" s="81" t="n">
        <x:v>7</x:v>
      </x:c>
      <x:c r="K164" s="81" t="n">
        <x:v>3</x:v>
      </x:c>
      <x:c r="L164" s="83" t="n">
        <x:f>MAX(0,MIN(100,100-((F164-1)/(MAX($F$5:$F$265)-1))*100))</x:f>
        <x:v>23.560486001056532</x:v>
      </x:c>
      <x:c r="M164" s="83" t="n">
        <x:f>MAX(0,MIN(100,50+(('Sources &amp; Model'!$B$4-F164)/('Sources &amp; Model'!$B$6*2.5))*45))</x:f>
        <x:v>0</x:v>
      </x:c>
      <x:c r="N164" s="83" t="n">
        <x:f>IF(V164="Mine",0,IF(OR(C164="RB",C164="WR"),MAX(30,62-COUNTIFS($C$5:$C$265,C164,$V$5:$V$265,"Mine")*5),IF(OR(C164="D/ST",C164="K"),IF('Sources &amp; Model'!$B$4&gt;='Sources &amp; Model'!$B$6*('Sources &amp; Model'!$B$8-2),62,12),IF(COUNTIFS($C$5:$C$265,C164,$V$5:$V$265,"Mine")=0,82,38))))</x:f>
        <x:v>12</x:v>
      </x:c>
      <x:c r="O164" s="65" t="n">
        <x:v>89.3</x:v>
      </x:c>
      <x:c r="P164" s="83" t="n">
        <x:f>MAX(0,MIN(100,100/(1+EXP(-(('Sources &amp; Model'!$B$5-F164)/MAX(2.5,I164))))))</x:f>
        <x:v>11.026637527240878</x:v>
      </x:c>
      <x:c r="Q164" s="65" t="n">
        <x:v>68</x:v>
      </x:c>
      <x:c r="R164" s="65" t="n">
        <x:v>92</x:v>
      </x:c>
      <x:c r="S164" s="65" t="n">
        <x:v>39.3</x:v>
      </x:c>
      <x:c r="T164" s="65" t="n">
        <x:v>50</x:v>
      </x:c>
      <x:c r="U164" s="84" t="n">
        <x:f>IF(V164&lt;&gt;"Available","",(L164*'Sources &amp; Model'!$B$13+M164*'Sources &amp; Model'!$B$14+N164*'Sources &amp; Model'!$B$15+O164*'Sources &amp; Model'!$B$16+P164*'Sources &amp; Model'!$B$17+Q164*'Sources &amp; Model'!$B$18+R164*'Sources &amp; Model'!$B$19+S164*'Sources &amp; Model'!$B$20+T164*'Sources &amp; Model'!$B$21)/SUM('Sources &amp; Model'!$B$13:$B$21))</x:f>
        <x:v>30.675228993083305</x:v>
      </x:c>
      <x:c r="V164" s="5" t="str">
        <x:v>Available</x:v>
      </x:c>
      <x:c r="W164" t="str">
        <x:v>https://help.fantasyfootballcalculator.com/article/42-adp-rest-api</x:v>
      </x:c>
    </x:row>
    <x:row r="165">
      <x:c r="A165" s="28" t="n">
        <x:v>161</x:v>
      </x:c>
      <x:c r="B165" s="28" t="str">
        <x:v>Pat Bryant</x:v>
      </x:c>
      <x:c r="C165" s="28" t="str">
        <x:v>WR</x:v>
      </x:c>
      <x:c r="D165" s="28" t="str">
        <x:v>DEN</x:v>
      </x:c>
      <x:c r="E165" s="81" t="n">
        <x:v>10</x:v>
      </x:c>
      <x:c r="F165" s="82" t="n">
        <x:v>147.1</x:v>
      </x:c>
      <x:c r="G165" s="82" t="n">
        <x:v>100</x:v>
      </x:c>
      <x:c r="H165" s="82" t="n">
        <x:v>154</x:v>
      </x:c>
      <x:c r="I165" s="82" t="n">
        <x:v>18</x:v>
      </x:c>
      <x:c r="J165" s="81" t="n">
        <x:v>9</x:v>
      </x:c>
      <x:c r="K165" s="81" t="n">
        <x:v>9</x:v>
      </x:c>
      <x:c r="L165" s="83" t="n">
        <x:f>MAX(0,MIN(100,100-((F165-1)/(MAX($F$5:$F$265)-1))*100))</x:f>
        <x:v>22.820919175911257</x:v>
      </x:c>
      <x:c r="M165" s="83" t="n">
        <x:f>MAX(0,MIN(100,50+(('Sources &amp; Model'!$B$4-F165)/('Sources &amp; Model'!$B$6*2.5))*45))</x:f>
        <x:v>0</x:v>
      </x:c>
      <x:c r="N165" s="83" t="n">
        <x:f>IF(V165="Mine",0,IF(OR(C165="RB",C165="WR"),MAX(30,62-COUNTIFS($C$5:$C$265,C165,$V$5:$V$265,"Mine")*5),IF(OR(C165="D/ST",C165="K"),IF('Sources &amp; Model'!$B$4&gt;='Sources &amp; Model'!$B$6*('Sources &amp; Model'!$B$8-2),62,12),IF(COUNTIFS($C$5:$C$265,C165,$V$5:$V$265,"Mine")=0,82,38))))</x:f>
        <x:v>62</x:v>
      </x:c>
      <x:c r="O165" s="65" t="n">
        <x:v>46.4</x:v>
      </x:c>
      <x:c r="P165" s="83" t="n">
        <x:f>MAX(0,MIN(100,100/(1+EXP(-(('Sources &amp; Model'!$B$5-F165)/MAX(2.5,I165))))))</x:f>
        <x:v>0.02984329885824618</x:v>
      </x:c>
      <x:c r="Q165" s="65" t="n">
        <x:v>35</x:v>
      </x:c>
      <x:c r="R165" s="65" t="n">
        <x:v>92</x:v>
      </x:c>
      <x:c r="S165" s="65" t="n">
        <x:v>36.9</x:v>
      </x:c>
      <x:c r="T165" s="65" t="n">
        <x:v>50</x:v>
      </x:c>
      <x:c r="U165" s="84" t="n">
        <x:f>IF(V165&lt;&gt;"Available","",(L165*'Sources &amp; Model'!$B$13+M165*'Sources &amp; Model'!$B$14+N165*'Sources &amp; Model'!$B$15+O165*'Sources &amp; Model'!$B$16+P165*'Sources &amp; Model'!$B$17+Q165*'Sources &amp; Model'!$B$18+R165*'Sources &amp; Model'!$B$19+S165*'Sources &amp; Model'!$B$20+T165*'Sources &amp; Model'!$B$21)/SUM('Sources &amp; Model'!$B$13:$B$21))</x:f>
        <x:v>29.64809684969565</x:v>
      </x:c>
      <x:c r="V165" s="5" t="str">
        <x:v>Available</x:v>
      </x:c>
      <x:c r="W165" t="str">
        <x:v>https://help.fantasyfootballcalculator.com/article/42-adp-rest-api</x:v>
      </x:c>
    </x:row>
    <x:row r="166">
      <x:c r="A166" s="28" t="n">
        <x:v>162</x:v>
      </x:c>
      <x:c r="B166" s="28" t="str">
        <x:v>Mike Washington</x:v>
      </x:c>
      <x:c r="C166" s="28" t="str">
        <x:v>RB</x:v>
      </x:c>
      <x:c r="D166" s="28" t="str">
        <x:v>LV</x:v>
      </x:c>
      <x:c r="E166" s="81" t="n">
        <x:v>13</x:v>
      </x:c>
      <x:c r="F166" s="82" t="n">
        <x:v>147.8</x:v>
      </x:c>
      <x:c r="G166" s="82" t="n">
        <x:v>109</x:v>
      </x:c>
      <x:c r="H166" s="82" t="n">
        <x:v>174</x:v>
      </x:c>
      <x:c r="I166" s="82" t="n">
        <x:v>18.9</x:v>
      </x:c>
      <x:c r="J166" s="81" t="n">
        <x:v>15</x:v>
      </x:c>
      <x:c r="K166" s="81" t="n">
        <x:v>9</x:v>
      </x:c>
      <x:c r="L166" s="83" t="n">
        <x:f>MAX(0,MIN(100,100-((F166-1)/(MAX($F$5:$F$265)-1))*100))</x:f>
        <x:v>22.451135763338613</x:v>
      </x:c>
      <x:c r="M166" s="83" t="n">
        <x:f>MAX(0,MIN(100,50+(('Sources &amp; Model'!$B$4-F166)/('Sources &amp; Model'!$B$6*2.5))*45))</x:f>
        <x:v>0</x:v>
      </x:c>
      <x:c r="N166" s="83" t="n">
        <x:f>IF(V166="Mine",0,IF(OR(C166="RB",C166="WR"),MAX(30,62-COUNTIFS($C$5:$C$265,C166,$V$5:$V$265,"Mine")*5),IF(OR(C166="D/ST",C166="K"),IF('Sources &amp; Model'!$B$4&gt;='Sources &amp; Model'!$B$6*('Sources &amp; Model'!$B$8-2),62,12),IF(COUNTIFS($C$5:$C$265,C166,$V$5:$V$265,"Mine")=0,82,38))))</x:f>
        <x:v>62</x:v>
      </x:c>
      <x:c r="O166" s="65" t="n">
        <x:v>44.2</x:v>
      </x:c>
      <x:c r="P166" s="83" t="n">
        <x:f>MAX(0,MIN(100,100/(1+EXP(-(('Sources &amp; Model'!$B$5-F166)/MAX(2.5,I166))))))</x:f>
        <x:v>0.04232197219687463</x:v>
      </x:c>
      <x:c r="Q166" s="65" t="n">
        <x:v>68</x:v>
      </x:c>
      <x:c r="R166" s="65" t="n">
        <x:v>92</x:v>
      </x:c>
      <x:c r="S166" s="65" t="n">
        <x:v>58.4</x:v>
      </x:c>
      <x:c r="T166" s="65" t="n">
        <x:v>50</x:v>
      </x:c>
      <x:c r="U166" s="84" t="n">
        <x:f>IF(V166&lt;&gt;"Available","",(L166*'Sources &amp; Model'!$B$13+M166*'Sources &amp; Model'!$B$14+N166*'Sources &amp; Model'!$B$15+O166*'Sources &amp; Model'!$B$16+P166*'Sources &amp; Model'!$B$17+Q166*'Sources &amp; Model'!$B$18+R166*'Sources &amp; Model'!$B$19+S166*'Sources &amp; Model'!$B$20+T166*'Sources &amp; Model'!$B$21)/SUM('Sources &amp; Model'!$B$13:$B$21))</x:f>
        <x:v>31.669618356754818</x:v>
      </x:c>
      <x:c r="V166" s="5" t="str">
        <x:v>Available</x:v>
      </x:c>
      <x:c r="W166" t="str">
        <x:v>https://help.fantasyfootballcalculator.com/article/42-adp-rest-api</x:v>
      </x:c>
    </x:row>
    <x:row r="167">
      <x:c r="A167" s="28" t="n">
        <x:v>163</x:v>
      </x:c>
      <x:c r="B167" s="28" t="str">
        <x:v>Rashod Bateman</x:v>
      </x:c>
      <x:c r="C167" s="28" t="str">
        <x:v>WR</x:v>
      </x:c>
      <x:c r="D167" s="28" t="str">
        <x:v>BAL</x:v>
      </x:c>
      <x:c r="E167" s="81" t="n">
        <x:v>13</x:v>
      </x:c>
      <x:c r="F167" s="82" t="n">
        <x:v>147.9</x:v>
      </x:c>
      <x:c r="G167" s="82" t="n">
        <x:v>105</x:v>
      </x:c>
      <x:c r="H167" s="82" t="n">
        <x:v>166</x:v>
      </x:c>
      <x:c r="I167" s="82" t="n">
        <x:v>16.2</x:v>
      </x:c>
      <x:c r="J167" s="81" t="n">
        <x:v>42</x:v>
      </x:c>
      <x:c r="K167" s="81" t="n">
        <x:v>9</x:v>
      </x:c>
      <x:c r="L167" s="83" t="n">
        <x:f>MAX(0,MIN(100,100-((F167-1)/(MAX($F$5:$F$265)-1))*100))</x:f>
        <x:v>22.398309561542533</x:v>
      </x:c>
      <x:c r="M167" s="83" t="n">
        <x:f>MAX(0,MIN(100,50+(('Sources &amp; Model'!$B$4-F167)/('Sources &amp; Model'!$B$6*2.5))*45))</x:f>
        <x:v>0</x:v>
      </x:c>
      <x:c r="N167" s="83" t="n">
        <x:f>IF(V167="Mine",0,IF(OR(C167="RB",C167="WR"),MAX(30,62-COUNTIFS($C$5:$C$265,C167,$V$5:$V$265,"Mine")*5),IF(OR(C167="D/ST",C167="K"),IF('Sources &amp; Model'!$B$4&gt;='Sources &amp; Model'!$B$6*('Sources &amp; Model'!$B$8-2),62,12),IF(COUNTIFS($C$5:$C$265,C167,$V$5:$V$265,"Mine")=0,82,38))))</x:f>
        <x:v>62</x:v>
      </x:c>
      <x:c r="O167" s="65" t="n">
        <x:v>42.5</x:v>
      </x:c>
      <x:c r="P167" s="83" t="n">
        <x:f>MAX(0,MIN(100,100/(1+EXP(-(('Sources &amp; Model'!$B$5-F167)/MAX(2.5,I167))))))</x:f>
        <x:v>0.011529499545203367</x:v>
      </x:c>
      <x:c r="Q167" s="65" t="n">
        <x:v>68</x:v>
      </x:c>
      <x:c r="R167" s="65" t="n">
        <x:v>92</x:v>
      </x:c>
      <x:c r="S167" s="65" t="n">
        <x:v>31.7</x:v>
      </x:c>
      <x:c r="T167" s="65" t="n">
        <x:v>49.7</x:v>
      </x:c>
      <x:c r="U167" s="84" t="n">
        <x:f>IF(V167&lt;&gt;"Available","",(L167*'Sources &amp; Model'!$B$13+M167*'Sources &amp; Model'!$B$14+N167*'Sources &amp; Model'!$B$15+O167*'Sources &amp; Model'!$B$16+P167*'Sources &amp; Model'!$B$17+Q167*'Sources &amp; Model'!$B$18+R167*'Sources &amp; Model'!$B$19+S167*'Sources &amp; Model'!$B$20+T167*'Sources &amp; Model'!$B$21)/SUM('Sources &amp; Model'!$B$13:$B$21))</x:f>
        <x:v>30.907578200878984</x:v>
      </x:c>
      <x:c r="V167" s="5" t="str">
        <x:v>Available</x:v>
      </x:c>
      <x:c r="W167" t="str">
        <x:v>https://help.fantasyfootballcalculator.com/article/42-adp-rest-api</x:v>
      </x:c>
    </x:row>
    <x:row r="168">
      <x:c r="A168" s="28" t="n">
        <x:v>164</x:v>
      </x:c>
      <x:c r="B168" s="28" t="str">
        <x:v>Denzel Boston</x:v>
      </x:c>
      <x:c r="C168" s="28" t="str">
        <x:v>WR</x:v>
      </x:c>
      <x:c r="D168" s="28" t="str">
        <x:v>CLE</x:v>
      </x:c>
      <x:c r="E168" s="81" t="n">
        <x:v>11</x:v>
      </x:c>
      <x:c r="F168" s="82" t="n">
        <x:v>148</x:v>
      </x:c>
      <x:c r="G168" s="82" t="n">
        <x:v>104</x:v>
      </x:c>
      <x:c r="H168" s="82" t="n">
        <x:v>180</x:v>
      </x:c>
      <x:c r="I168" s="82" t="n">
        <x:v>16.8</x:v>
      </x:c>
      <x:c r="J168" s="81" t="n">
        <x:v>209</x:v>
      </x:c>
      <x:c r="K168" s="81" t="n">
        <x:v>9</x:v>
      </x:c>
      <x:c r="L168" s="83" t="n">
        <x:f>MAX(0,MIN(100,100-((F168-1)/(MAX($F$5:$F$265)-1))*100))</x:f>
        <x:v>22.34548335974644</x:v>
      </x:c>
      <x:c r="M168" s="83" t="n">
        <x:f>MAX(0,MIN(100,50+(('Sources &amp; Model'!$B$4-F168)/('Sources &amp; Model'!$B$6*2.5))*45))</x:f>
        <x:v>0</x:v>
      </x:c>
      <x:c r="N168" s="83" t="n">
        <x:f>IF(V168="Mine",0,IF(OR(C168="RB",C168="WR"),MAX(30,62-COUNTIFS($C$5:$C$265,C168,$V$5:$V$265,"Mine")*5),IF(OR(C168="D/ST",C168="K"),IF('Sources &amp; Model'!$B$4&gt;='Sources &amp; Model'!$B$6*('Sources &amp; Model'!$B$8-2),62,12),IF(COUNTIFS($C$5:$C$265,C168,$V$5:$V$265,"Mine")=0,82,38))))</x:f>
        <x:v>62</x:v>
      </x:c>
      <x:c r="O168" s="65" t="n">
        <x:v>60.2</x:v>
      </x:c>
      <x:c r="P168" s="83" t="n">
        <x:f>MAX(0,MIN(100,100/(1+EXP(-(('Sources &amp; Model'!$B$5-F168)/MAX(2.5,I168))))))</x:f>
        <x:v>0.015843621910252594</x:v>
      </x:c>
      <x:c r="Q168" s="65" t="n">
        <x:v>50</x:v>
      </x:c>
      <x:c r="R168" s="65" t="n">
        <x:v>92</x:v>
      </x:c>
      <x:c r="S168" s="65" t="n">
        <x:v>49.4</x:v>
      </x:c>
      <x:c r="T168" s="65" t="n">
        <x:v>50</x:v>
      </x:c>
      <x:c r="U168" s="84" t="n">
        <x:f>IF(V168&lt;&gt;"Available","",(L168*'Sources &amp; Model'!$B$13+M168*'Sources &amp; Model'!$B$14+N168*'Sources &amp; Model'!$B$15+O168*'Sources &amp; Model'!$B$16+P168*'Sources &amp; Model'!$B$17+Q168*'Sources &amp; Model'!$B$18+R168*'Sources &amp; Model'!$B$19+S168*'Sources &amp; Model'!$B$20+T168*'Sources &amp; Model'!$B$21)/SUM('Sources &amp; Model'!$B$13:$B$21))</x:f>
        <x:v>32.29104870450482</x:v>
      </x:c>
      <x:c r="V168" s="5" t="str">
        <x:v>Available</x:v>
      </x:c>
      <x:c r="W168" t="str">
        <x:v>https://help.fantasyfootballcalculator.com/article/42-adp-rest-api</x:v>
      </x:c>
    </x:row>
    <x:row r="169">
      <x:c r="A169" s="28" t="n">
        <x:v>165</x:v>
      </x:c>
      <x:c r="B169" s="28" t="str">
        <x:v>Jonah Coleman</x:v>
      </x:c>
      <x:c r="C169" s="28" t="str">
        <x:v>RB</x:v>
      </x:c>
      <x:c r="D169" s="28" t="str">
        <x:v>DEN</x:v>
      </x:c>
      <x:c r="E169" s="81" t="n">
        <x:v>10</x:v>
      </x:c>
      <x:c r="F169" s="82" t="n">
        <x:v>148.2</x:v>
      </x:c>
      <x:c r="G169" s="82" t="n">
        <x:v>91</x:v>
      </x:c>
      <x:c r="H169" s="82" t="n">
        <x:v>176</x:v>
      </x:c>
      <x:c r="I169" s="82" t="n">
        <x:v>23.8</x:v>
      </x:c>
      <x:c r="J169" s="81" t="n">
        <x:v>30</x:v>
      </x:c>
      <x:c r="K169" s="81" t="n">
        <x:v>9</x:v>
      </x:c>
      <x:c r="L169" s="83" t="n">
        <x:f>MAX(0,MIN(100,100-((F169-1)/(MAX($F$5:$F$265)-1))*100))</x:f>
        <x:v>22.239830956154265</x:v>
      </x:c>
      <x:c r="M169" s="83" t="n">
        <x:f>MAX(0,MIN(100,50+(('Sources &amp; Model'!$B$4-F169)/('Sources &amp; Model'!$B$6*2.5))*45))</x:f>
        <x:v>0</x:v>
      </x:c>
      <x:c r="N169" s="83" t="n">
        <x:f>IF(V169="Mine",0,IF(OR(C169="RB",C169="WR"),MAX(30,62-COUNTIFS($C$5:$C$265,C169,$V$5:$V$265,"Mine")*5),IF(OR(C169="D/ST",C169="K"),IF('Sources &amp; Model'!$B$4&gt;='Sources &amp; Model'!$B$6*('Sources &amp; Model'!$B$8-2),62,12),IF(COUNTIFS($C$5:$C$265,C169,$V$5:$V$265,"Mine")=0,82,38))))</x:f>
        <x:v>62</x:v>
      </x:c>
      <x:c r="O169" s="65" t="n">
        <x:v>55.8</x:v>
      </x:c>
      <x:c r="P169" s="83" t="n">
        <x:f>MAX(0,MIN(100,100/(1+EXP(-(('Sources &amp; Model'!$B$5-F169)/MAX(2.5,I169))))))</x:f>
        <x:v>0.20561248856377334</x:v>
      </x:c>
      <x:c r="Q169" s="65" t="n">
        <x:v>50</x:v>
      </x:c>
      <x:c r="R169" s="65" t="n">
        <x:v>92</x:v>
      </x:c>
      <x:c r="S169" s="65" t="n">
        <x:v>36.9</x:v>
      </x:c>
      <x:c r="T169" s="65" t="n">
        <x:v>50</x:v>
      </x:c>
      <x:c r="U169" s="84" t="n">
        <x:f>IF(V169&lt;&gt;"Available","",(L169*'Sources &amp; Model'!$B$13+M169*'Sources &amp; Model'!$B$14+N169*'Sources &amp; Model'!$B$15+O169*'Sources &amp; Model'!$B$16+P169*'Sources &amp; Model'!$B$17+Q169*'Sources &amp; Model'!$B$18+R169*'Sources &amp; Model'!$B$19+S169*'Sources &amp; Model'!$B$20+T169*'Sources &amp; Model'!$B$21)/SUM('Sources &amp; Model'!$B$13:$B$21))</x:f>
        <x:v>31.496103773948832</x:v>
      </x:c>
      <x:c r="V169" s="5" t="str">
        <x:v>Available</x:v>
      </x:c>
      <x:c r="W169" t="str">
        <x:v>https://help.fantasyfootballcalculator.com/article/42-adp-rest-api</x:v>
      </x:c>
    </x:row>
    <x:row r="170">
      <x:c r="A170" s="28" t="n">
        <x:v>166</x:v>
      </x:c>
      <x:c r="B170" s="28" t="str">
        <x:v>Jake Bates</x:v>
      </x:c>
      <x:c r="C170" s="28" t="str">
        <x:v>K</x:v>
      </x:c>
      <x:c r="D170" s="28" t="str">
        <x:v>DET</x:v>
      </x:c>
      <x:c r="E170" s="81" t="n">
        <x:v>6</x:v>
      </x:c>
      <x:c r="F170" s="82" t="n">
        <x:v>149.6</x:v>
      </x:c>
      <x:c r="G170" s="82" t="n">
        <x:v>101</x:v>
      </x:c>
      <x:c r="H170" s="82" t="n">
        <x:v>188</x:v>
      </x:c>
      <x:c r="I170" s="82" t="n">
        <x:v>18.6</x:v>
      </x:c>
      <x:c r="J170" s="81" t="n">
        <x:v>153</x:v>
      </x:c>
      <x:c r="K170" s="81" t="n">
        <x:v>2</x:v>
      </x:c>
      <x:c r="L170" s="83" t="n">
        <x:f>MAX(0,MIN(100,100-((F170-1)/(MAX($F$5:$F$265)-1))*100))</x:f>
        <x:v>21.50026413100899</x:v>
      </x:c>
      <x:c r="M170" s="83" t="n">
        <x:f>MAX(0,MIN(100,50+(('Sources &amp; Model'!$B$4-F170)/('Sources &amp; Model'!$B$6*2.5))*45))</x:f>
        <x:v>0</x:v>
      </x:c>
      <x:c r="N170" s="83" t="n">
        <x:f>IF(V170="Mine",0,IF(OR(C170="RB",C170="WR"),MAX(30,62-COUNTIFS($C$5:$C$265,C170,$V$5:$V$265,"Mine")*5),IF(OR(C170="D/ST",C170="K"),IF('Sources &amp; Model'!$B$4&gt;='Sources &amp; Model'!$B$6*('Sources &amp; Model'!$B$8-2),62,12),IF(COUNTIFS($C$5:$C$265,C170,$V$5:$V$265,"Mine")=0,82,38))))</x:f>
        <x:v>12</x:v>
      </x:c>
      <x:c r="O170" s="65" t="n">
        <x:v>53.5</x:v>
      </x:c>
      <x:c r="P170" s="83" t="n">
        <x:f>MAX(0,MIN(100,100/(1+EXP(-(('Sources &amp; Model'!$B$5-F170)/MAX(2.5,I170))))))</x:f>
        <x:v>0.03389742732553022</x:v>
      </x:c>
      <x:c r="Q170" s="65" t="n">
        <x:v>68</x:v>
      </x:c>
      <x:c r="R170" s="65" t="n">
        <x:v>92</x:v>
      </x:c>
      <x:c r="S170" s="65" t="n">
        <x:v>45.2</x:v>
      </x:c>
      <x:c r="T170" s="65" t="n">
        <x:v>50</x:v>
      </x:c>
      <x:c r="U170" s="84" t="n">
        <x:f>IF(V170&lt;&gt;"Available","",(L170*'Sources &amp; Model'!$B$13+M170*'Sources &amp; Model'!$B$14+N170*'Sources &amp; Model'!$B$15+O170*'Sources &amp; Model'!$B$16+P170*'Sources &amp; Model'!$B$17+Q170*'Sources &amp; Model'!$B$18+R170*'Sources &amp; Model'!$B$19+S170*'Sources &amp; Model'!$B$20+T170*'Sources &amp; Model'!$B$21)/SUM('Sources &amp; Model'!$B$13:$B$21))</x:f>
        <x:v>24.697479547275613</x:v>
      </x:c>
      <x:c r="V170" s="5" t="str">
        <x:v>Available</x:v>
      </x:c>
      <x:c r="W170" t="str">
        <x:v>https://help.fantasyfootballcalculator.com/article/42-adp-rest-api</x:v>
      </x:c>
    </x:row>
    <x:row r="171">
      <x:c r="A171" s="28" t="n">
        <x:v>167</x:v>
      </x:c>
      <x:c r="B171" s="28" t="str">
        <x:v>Oronde Gadsden</x:v>
      </x:c>
      <x:c r="C171" s="28" t="str">
        <x:v>TE</x:v>
      </x:c>
      <x:c r="D171" s="28" t="str">
        <x:v>LAC</x:v>
      </x:c>
      <x:c r="E171" s="81" t="n">
        <x:v>7</x:v>
      </x:c>
      <x:c r="F171" s="82" t="n">
        <x:v>149.8</x:v>
      </x:c>
      <x:c r="G171" s="82" t="n">
        <x:v>114</x:v>
      </x:c>
      <x:c r="H171" s="82" t="n">
        <x:v>204</x:v>
      </x:c>
      <x:c r="I171" s="82" t="n">
        <x:v>34.4</x:v>
      </x:c>
      <x:c r="J171" s="81" t="n">
        <x:v>5</x:v>
      </x:c>
      <x:c r="K171" s="81" t="n">
        <x:v>6</x:v>
      </x:c>
      <x:c r="L171" s="83" t="n">
        <x:f>MAX(0,MIN(100,100-((F171-1)/(MAX($F$5:$F$265)-1))*100))</x:f>
        <x:v>21.3946117274168</x:v>
      </x:c>
      <x:c r="M171" s="83" t="n">
        <x:f>MAX(0,MIN(100,50+(('Sources &amp; Model'!$B$4-F171)/('Sources &amp; Model'!$B$6*2.5))*45))</x:f>
        <x:v>0</x:v>
      </x:c>
      <x:c r="N171" s="83" t="n">
        <x:f>IF(V171="Mine",0,IF(OR(C171="RB",C171="WR"),MAX(30,62-COUNTIFS($C$5:$C$265,C171,$V$5:$V$265,"Mine")*5),IF(OR(C171="D/ST",C171="K"),IF('Sources &amp; Model'!$B$4&gt;='Sources &amp; Model'!$B$6*('Sources &amp; Model'!$B$8-2),62,12),IF(COUNTIFS($C$5:$C$265,C171,$V$5:$V$265,"Mine")=0,82,38))))</x:f>
        <x:v>82</x:v>
      </x:c>
      <x:c r="O171" s="65" t="n">
        <x:v>56.8</x:v>
      </x:c>
      <x:c r="P171" s="83" t="n">
        <x:f>MAX(0,MIN(100,100/(1+EXP(-(('Sources &amp; Model'!$B$5-F171)/MAX(2.5,I171))))))</x:f>
        <x:v>1.3053218390040264</x:v>
      </x:c>
      <x:c r="Q171" s="65" t="n">
        <x:v>90</x:v>
      </x:c>
      <x:c r="R171" s="65" t="n">
        <x:v>92</x:v>
      </x:c>
      <x:c r="S171" s="65" t="n">
        <x:v>54.4</x:v>
      </x:c>
      <x:c r="T171" s="65" t="n">
        <x:v>50</x:v>
      </x:c>
      <x:c r="U171" s="84" t="n">
        <x:f>IF(V171&lt;&gt;"Available","",(L171*'Sources &amp; Model'!$B$13+M171*'Sources &amp; Model'!$B$14+N171*'Sources &amp; Model'!$B$15+O171*'Sources &amp; Model'!$B$16+P171*'Sources &amp; Model'!$B$17+Q171*'Sources &amp; Model'!$B$18+R171*'Sources &amp; Model'!$B$19+S171*'Sources &amp; Model'!$B$20+T171*'Sources &amp; Model'!$B$21)/SUM('Sources &amp; Model'!$B$13:$B$21))</x:f>
        <x:v>37.188700171222116</x:v>
      </x:c>
      <x:c r="V171" s="5" t="str">
        <x:v>Available</x:v>
      </x:c>
      <x:c r="W171" t="str">
        <x:v>https://help.fantasyfootballcalculator.com/article/42-adp-rest-api</x:v>
      </x:c>
    </x:row>
    <x:row r="172">
      <x:c r="A172" s="28" t="n">
        <x:v>168</x:v>
      </x:c>
      <x:c r="B172" s="28" t="str">
        <x:v>Woody Marks</x:v>
      </x:c>
      <x:c r="C172" s="28" t="str">
        <x:v>RB</x:v>
      </x:c>
      <x:c r="D172" s="28" t="str">
        <x:v>HOU</x:v>
      </x:c>
      <x:c r="E172" s="81" t="n">
        <x:v>8</x:v>
      </x:c>
      <x:c r="F172" s="82" t="n">
        <x:v>150.7</x:v>
      </x:c>
      <x:c r="G172" s="82" t="n">
        <x:v>110</x:v>
      </x:c>
      <x:c r="H172" s="82" t="n">
        <x:v>179</x:v>
      </x:c>
      <x:c r="I172" s="82" t="n">
        <x:v>15.6</x:v>
      </x:c>
      <x:c r="J172" s="81" t="n">
        <x:v>161</x:v>
      </x:c>
      <x:c r="K172" s="81" t="n">
        <x:v>9</x:v>
      </x:c>
      <x:c r="L172" s="83" t="n">
        <x:f>MAX(0,MIN(100,100-((F172-1)/(MAX($F$5:$F$265)-1))*100))</x:f>
        <x:v>20.919175911251997</x:v>
      </x:c>
      <x:c r="M172" s="83" t="n">
        <x:f>MAX(0,MIN(100,50+(('Sources &amp; Model'!$B$4-F172)/('Sources &amp; Model'!$B$6*2.5))*45))</x:f>
        <x:v>0</x:v>
      </x:c>
      <x:c r="N172" s="83" t="n">
        <x:f>IF(V172="Mine",0,IF(OR(C172="RB",C172="WR"),MAX(30,62-COUNTIFS($C$5:$C$265,C172,$V$5:$V$265,"Mine")*5),IF(OR(C172="D/ST",C172="K"),IF('Sources &amp; Model'!$B$4&gt;='Sources &amp; Model'!$B$6*('Sources &amp; Model'!$B$8-2),62,12),IF(COUNTIFS($C$5:$C$265,C172,$V$5:$V$265,"Mine")=0,82,38))))</x:f>
        <x:v>62</x:v>
      </x:c>
      <x:c r="O172" s="65" t="n">
        <x:v>42.6</x:v>
      </x:c>
      <x:c r="P172" s="83" t="n">
        <x:f>MAX(0,MIN(100,100/(1+EXP(-(('Sources &amp; Model'!$B$5-F172)/MAX(2.5,I172))))))</x:f>
        <x:v>0.006798511093670486</x:v>
      </x:c>
      <x:c r="Q172" s="65" t="n">
        <x:v>68</x:v>
      </x:c>
      <x:c r="R172" s="65" t="n">
        <x:v>92</x:v>
      </x:c>
      <x:c r="S172" s="65" t="n">
        <x:v>37.6</x:v>
      </x:c>
      <x:c r="T172" s="65" t="n">
        <x:v>50</x:v>
      </x:c>
      <x:c r="U172" s="84" t="n">
        <x:f>IF(V172&lt;&gt;"Available","",(L172*'Sources &amp; Model'!$B$13+M172*'Sources &amp; Model'!$B$14+N172*'Sources &amp; Model'!$B$15+O172*'Sources &amp; Model'!$B$16+P172*'Sources &amp; Model'!$B$17+Q172*'Sources &amp; Model'!$B$18+R172*'Sources &amp; Model'!$B$19+S172*'Sources &amp; Model'!$B$20+T172*'Sources &amp; Model'!$B$21)/SUM('Sources &amp; Model'!$B$13:$B$21))</x:f>
        <x:v>30.537199660935045</x:v>
      </x:c>
      <x:c r="V172" s="5" t="str">
        <x:v>Available</x:v>
      </x:c>
      <x:c r="W172" t="str">
        <x:v>https://help.fantasyfootballcalculator.com/article/42-adp-rest-api</x:v>
      </x:c>
    </x:row>
    <x:row r="173">
      <x:c r="A173" s="28" t="n">
        <x:v>169</x:v>
      </x:c>
      <x:c r="B173" s="28" t="str">
        <x:v>Kaelon Black</x:v>
      </x:c>
      <x:c r="C173" s="28" t="str">
        <x:v>RB</x:v>
      </x:c>
      <x:c r="D173" s="28" t="str">
        <x:v>SF</x:v>
      </x:c>
      <x:c r="E173" s="81" t="n">
        <x:v>8</x:v>
      </x:c>
      <x:c r="F173" s="82" t="n">
        <x:v>150.8</x:v>
      </x:c>
      <x:c r="G173" s="82" t="n">
        <x:v>101</x:v>
      </x:c>
      <x:c r="H173" s="82" t="n">
        <x:v>177</x:v>
      </x:c>
      <x:c r="I173" s="82" t="n">
        <x:v>31.2</x:v>
      </x:c>
      <x:c r="J173" s="81" t="n">
        <x:v>6</x:v>
      </x:c>
      <x:c r="K173" s="81" t="n">
        <x:v>9</x:v>
      </x:c>
      <x:c r="L173" s="83" t="n">
        <x:f>MAX(0,MIN(100,100-((F173-1)/(MAX($F$5:$F$265)-1))*100))</x:f>
        <x:v>20.86634970945589</x:v>
      </x:c>
      <x:c r="M173" s="83" t="n">
        <x:f>MAX(0,MIN(100,50+(('Sources &amp; Model'!$B$4-F173)/('Sources &amp; Model'!$B$6*2.5))*45))</x:f>
        <x:v>0</x:v>
      </x:c>
      <x:c r="N173" s="83" t="n">
        <x:f>IF(V173="Mine",0,IF(OR(C173="RB",C173="WR"),MAX(30,62-COUNTIFS($C$5:$C$265,C173,$V$5:$V$265,"Mine")*5),IF(OR(C173="D/ST",C173="K"),IF('Sources &amp; Model'!$B$4&gt;='Sources &amp; Model'!$B$6*('Sources &amp; Model'!$B$8-2),62,12),IF(COUNTIFS($C$5:$C$265,C173,$V$5:$V$265,"Mine")=0,82,38))))</x:f>
        <x:v>62</x:v>
      </x:c>
      <x:c r="O173" s="65" t="n">
        <x:v>51.3</x:v>
      </x:c>
      <x:c r="P173" s="83" t="n">
        <x:f>MAX(0,MIN(100,100/(1+EXP(-(('Sources &amp; Model'!$B$5-F173)/MAX(2.5,I173))))))</x:f>
        <x:v>0.8152198280454664</x:v>
      </x:c>
      <x:c r="Q173" s="65" t="n">
        <x:v>50</x:v>
      </x:c>
      <x:c r="R173" s="65" t="n">
        <x:v>52</x:v>
      </x:c>
      <x:c r="S173" s="65" t="n">
        <x:v>39.3</x:v>
      </x:c>
      <x:c r="T173" s="65" t="n">
        <x:v>50</x:v>
      </x:c>
      <x:c r="U173" s="84" t="n">
        <x:f>IF(V173&lt;&gt;"Available","",(L173*'Sources &amp; Model'!$B$13+M173*'Sources &amp; Model'!$B$14+N173*'Sources &amp; Model'!$B$15+O173*'Sources &amp; Model'!$B$16+P173*'Sources &amp; Model'!$B$17+Q173*'Sources &amp; Model'!$B$18+R173*'Sources &amp; Model'!$B$19+S173*'Sources &amp; Model'!$B$20+T173*'Sources &amp; Model'!$B$21)/SUM('Sources &amp; Model'!$B$13:$B$21))</x:f>
        <x:v>28.998080884019547</x:v>
      </x:c>
      <x:c r="V173" s="5" t="str">
        <x:v>Available</x:v>
      </x:c>
      <x:c r="W173" t="str">
        <x:v>https://help.fantasyfootballcalculator.com/article/42-adp-rest-api</x:v>
      </x:c>
    </x:row>
    <x:row r="174">
      <x:c r="A174" s="28" t="n">
        <x:v>170</x:v>
      </x:c>
      <x:c r="B174" s="28" t="str">
        <x:v>Tank Dell</x:v>
      </x:c>
      <x:c r="C174" s="28" t="str">
        <x:v>WR</x:v>
      </x:c>
      <x:c r="D174" s="28" t="str">
        <x:v>HOU</x:v>
      </x:c>
      <x:c r="E174" s="81" t="n">
        <x:v>8</x:v>
      </x:c>
      <x:c r="F174" s="82" t="n">
        <x:v>151.3</x:v>
      </x:c>
      <x:c r="G174" s="82" t="n">
        <x:v>111</x:v>
      </x:c>
      <x:c r="H174" s="82" t="n">
        <x:v>180</x:v>
      </x:c>
      <x:c r="I174" s="82" t="n">
        <x:v>15.3</x:v>
      </x:c>
      <x:c r="J174" s="81" t="n">
        <x:v>198</x:v>
      </x:c>
      <x:c r="K174" s="81" t="n">
        <x:v>9</x:v>
      </x:c>
      <x:c r="L174" s="83" t="n">
        <x:f>MAX(0,MIN(100,100-((F174-1)/(MAX($F$5:$F$265)-1))*100))</x:f>
        <x:v>20.602218700475433</x:v>
      </x:c>
      <x:c r="M174" s="83" t="n">
        <x:f>MAX(0,MIN(100,50+(('Sources &amp; Model'!$B$4-F174)/('Sources &amp; Model'!$B$6*2.5))*45))</x:f>
        <x:v>0</x:v>
      </x:c>
      <x:c r="N174" s="83" t="n">
        <x:f>IF(V174="Mine",0,IF(OR(C174="RB",C174="WR"),MAX(30,62-COUNTIFS($C$5:$C$265,C174,$V$5:$V$265,"Mine")*5),IF(OR(C174="D/ST",C174="K"),IF('Sources &amp; Model'!$B$4&gt;='Sources &amp; Model'!$B$6*('Sources &amp; Model'!$B$8-2),62,12),IF(COUNTIFS($C$5:$C$265,C174,$V$5:$V$265,"Mine")=0,82,38))))</x:f>
        <x:v>62</x:v>
      </x:c>
      <x:c r="O174" s="65" t="n">
        <x:v>48.6</x:v>
      </x:c>
      <x:c r="P174" s="83" t="n">
        <x:f>MAX(0,MIN(100,100/(1+EXP(-(('Sources &amp; Model'!$B$5-F174)/MAX(2.5,I174))))))</x:f>
        <x:v>0.005415915278045255</x:v>
      </x:c>
      <x:c r="Q174" s="65" t="n">
        <x:v>50</x:v>
      </x:c>
      <x:c r="R174" s="65" t="n">
        <x:v>52</x:v>
      </x:c>
      <x:c r="S174" s="65" t="n">
        <x:v>37.6</x:v>
      </x:c>
      <x:c r="T174" s="65" t="n">
        <x:v>50</x:v>
      </x:c>
      <x:c r="U174" s="84" t="n">
        <x:f>IF(V174&lt;&gt;"Available","",(L174*'Sources &amp; Model'!$B$13+M174*'Sources &amp; Model'!$B$14+N174*'Sources &amp; Model'!$B$15+O174*'Sources &amp; Model'!$B$16+P174*'Sources &amp; Model'!$B$17+Q174*'Sources &amp; Model'!$B$18+R174*'Sources &amp; Model'!$B$19+S174*'Sources &amp; Model'!$B$20+T174*'Sources &amp; Model'!$B$21)/SUM('Sources &amp; Model'!$B$13:$B$21))</x:f>
        <x:v>28.46929594968945</x:v>
      </x:c>
      <x:c r="V174" s="5" t="str">
        <x:v>Available</x:v>
      </x:c>
      <x:c r="W174" t="str">
        <x:v>https://help.fantasyfootballcalculator.com/article/42-adp-rest-api</x:v>
      </x:c>
    </x:row>
    <x:row r="175">
      <x:c r="A175" s="28" t="n">
        <x:v>171</x:v>
      </x:c>
      <x:c r="B175" s="28" t="str">
        <x:v>Harrison Mevis</x:v>
      </x:c>
      <x:c r="C175" s="28" t="str">
        <x:v>K</x:v>
      </x:c>
      <x:c r="D175" s="28" t="str">
        <x:v>LAR</x:v>
      </x:c>
      <x:c r="E175" s="81" t="n">
        <x:v>11</x:v>
      </x:c>
      <x:c r="F175" s="82" t="n">
        <x:v>151.7</x:v>
      </x:c>
      <x:c r="G175" s="82" t="n">
        <x:v>122</x:v>
      </x:c>
      <x:c r="H175" s="82" t="n">
        <x:v>191</x:v>
      </x:c>
      <x:c r="I175" s="82" t="n">
        <x:v>15.2</x:v>
      </x:c>
      <x:c r="J175" s="81" t="n">
        <x:v>64</x:v>
      </x:c>
      <x:c r="K175" s="81" t="n">
        <x:v>2</x:v>
      </x:c>
      <x:c r="L175" s="83" t="n">
        <x:f>MAX(0,MIN(100,100-((F175-1)/(MAX($F$5:$F$265)-1))*100))</x:f>
        <x:v>20.390913893291085</x:v>
      </x:c>
      <x:c r="M175" s="83" t="n">
        <x:f>MAX(0,MIN(100,50+(('Sources &amp; Model'!$B$4-F175)/('Sources &amp; Model'!$B$6*2.5))*45))</x:f>
        <x:v>0</x:v>
      </x:c>
      <x:c r="N175" s="83" t="n">
        <x:f>IF(V175="Mine",0,IF(OR(C175="RB",C175="WR"),MAX(30,62-COUNTIFS($C$5:$C$265,C175,$V$5:$V$265,"Mine")*5),IF(OR(C175="D/ST",C175="K"),IF('Sources &amp; Model'!$B$4&gt;='Sources &amp; Model'!$B$6*('Sources &amp; Model'!$B$8-2),62,12),IF(COUNTIFS($C$5:$C$265,C175,$V$5:$V$265,"Mine")=0,82,38))))</x:f>
        <x:v>12</x:v>
      </x:c>
      <x:c r="O175" s="65" t="n">
        <x:v>63.5</x:v>
      </x:c>
      <x:c r="P175" s="83" t="n">
        <x:f>MAX(0,MIN(100,100/(1+EXP(-(('Sources &amp; Model'!$B$5-F175)/MAX(2.5,I175))))))</x:f>
        <x:v>0.004945125422654347</x:v>
      </x:c>
      <x:c r="Q175" s="65" t="n">
        <x:v>68</x:v>
      </x:c>
      <x:c r="R175" s="65" t="n">
        <x:v>92</x:v>
      </x:c>
      <x:c r="S175" s="65" t="n">
        <x:v>45.2</x:v>
      </x:c>
      <x:c r="T175" s="65" t="n">
        <x:v>50</x:v>
      </x:c>
      <x:c r="U175" s="84" t="n">
        <x:f>IF(V175&lt;&gt;"Available","",(L175*'Sources &amp; Model'!$B$13+M175*'Sources &amp; Model'!$B$14+N175*'Sources &amp; Model'!$B$15+O175*'Sources &amp; Model'!$B$16+P175*'Sources &amp; Model'!$B$17+Q175*'Sources &amp; Model'!$B$18+R175*'Sources &amp; Model'!$B$19+S175*'Sources &amp; Model'!$B$20+T175*'Sources &amp; Model'!$B$21)/SUM('Sources &amp; Model'!$B$13:$B$21))</x:f>
        <x:v>25.517405236261233</x:v>
      </x:c>
      <x:c r="V175" s="5" t="str">
        <x:v>Available</x:v>
      </x:c>
      <x:c r="W175" t="str">
        <x:v>https://help.fantasyfootballcalculator.com/article/42-adp-rest-api</x:v>
      </x:c>
    </x:row>
    <x:row r="176">
      <x:c r="A176" s="28" t="n">
        <x:v>172</x:v>
      </x:c>
      <x:c r="B176" s="28" t="str">
        <x:v>Daniel Jones</x:v>
      </x:c>
      <x:c r="C176" s="28" t="str">
        <x:v>QB</x:v>
      </x:c>
      <x:c r="D176" s="28" t="str">
        <x:v>IND</x:v>
      </x:c>
      <x:c r="E176" s="81" t="n">
        <x:v>13</x:v>
      </x:c>
      <x:c r="F176" s="82" t="n">
        <x:v>152.4</x:v>
      </x:c>
      <x:c r="G176" s="82" t="n">
        <x:v>111</x:v>
      </x:c>
      <x:c r="H176" s="82" t="n">
        <x:v>180</x:v>
      </x:c>
      <x:c r="I176" s="82" t="n">
        <x:v>15.7</x:v>
      </x:c>
      <x:c r="J176" s="81" t="n">
        <x:v>159</x:v>
      </x:c>
      <x:c r="K176" s="81" t="n">
        <x:v>6</x:v>
      </x:c>
      <x:c r="L176" s="83" t="n">
        <x:f>MAX(0,MIN(100,100-((F176-1)/(MAX($F$5:$F$265)-1))*100))</x:f>
        <x:v>20.02113048071844</x:v>
      </x:c>
      <x:c r="M176" s="83" t="n">
        <x:f>MAX(0,MIN(100,50+(('Sources &amp; Model'!$B$4-F176)/('Sources &amp; Model'!$B$6*2.5))*45))</x:f>
        <x:v>0</x:v>
      </x:c>
      <x:c r="N176" s="83" t="n">
        <x:f>IF(V176="Mine",0,IF(OR(C176="RB",C176="WR"),MAX(30,62-COUNTIFS($C$5:$C$265,C176,$V$5:$V$265,"Mine")*5),IF(OR(C176="D/ST",C176="K"),IF('Sources &amp; Model'!$B$4&gt;='Sources &amp; Model'!$B$6*('Sources &amp; Model'!$B$8-2),62,12),IF(COUNTIFS($C$5:$C$265,C176,$V$5:$V$265,"Mine")=0,82,38))))</x:f>
        <x:v>82</x:v>
      </x:c>
      <x:c r="O176" s="65" t="n">
        <x:v>88.2</x:v>
      </x:c>
      <x:c r="P176" s="83" t="n">
        <x:f>MAX(0,MIN(100,100/(1+EXP(-(('Sources &amp; Model'!$B$5-F176)/MAX(2.5,I176))))))</x:f>
        <x:v>0.006485367641902592</x:v>
      </x:c>
      <x:c r="Q176" s="65" t="n">
        <x:v>90</x:v>
      </x:c>
      <x:c r="R176" s="65" t="n">
        <x:v>92</x:v>
      </x:c>
      <x:c r="S176" s="65" t="n">
        <x:v>44.6</x:v>
      </x:c>
      <x:c r="T176" s="65" t="n">
        <x:v>49.2</x:v>
      </x:c>
      <x:c r="U176" s="84" t="n">
        <x:f>IF(V176&lt;&gt;"Available","",(L176*'Sources &amp; Model'!$B$13+M176*'Sources &amp; Model'!$B$14+N176*'Sources &amp; Model'!$B$15+O176*'Sources &amp; Model'!$B$16+P176*'Sources &amp; Model'!$B$17+Q176*'Sources &amp; Model'!$B$18+R176*'Sources &amp; Model'!$B$19+S176*'Sources &amp; Model'!$B$20+T176*'Sources &amp; Model'!$B$21)/SUM('Sources &amp; Model'!$B$13:$B$21))</x:f>
        <x:v>40.15583290020846</x:v>
      </x:c>
      <x:c r="V176" s="5" t="str">
        <x:v>Available</x:v>
      </x:c>
      <x:c r="W176" t="str">
        <x:v>https://help.fantasyfootballcalculator.com/article/42-adp-rest-api</x:v>
      </x:c>
    </x:row>
    <x:row r="177">
      <x:c r="A177" s="28" t="n">
        <x:v>173</x:v>
      </x:c>
      <x:c r="B177" s="28" t="str">
        <x:v>Dalton Kincaid</x:v>
      </x:c>
      <x:c r="C177" s="28" t="str">
        <x:v>TE</x:v>
      </x:c>
      <x:c r="D177" s="28" t="str">
        <x:v>BUF</x:v>
      </x:c>
      <x:c r="E177" s="81" t="n">
        <x:v>7</x:v>
      </x:c>
      <x:c r="F177" s="82" t="n">
        <x:v>152.5</x:v>
      </x:c>
      <x:c r="G177" s="82" t="n">
        <x:v>112</x:v>
      </x:c>
      <x:c r="H177" s="82" t="n">
        <x:v>186</x:v>
      </x:c>
      <x:c r="I177" s="82" t="n">
        <x:v>16.7</x:v>
      </x:c>
      <x:c r="J177" s="81" t="n">
        <x:v>256</x:v>
      </x:c>
      <x:c r="K177" s="81" t="n">
        <x:v>6</x:v>
      </x:c>
      <x:c r="L177" s="83" t="n">
        <x:f>MAX(0,MIN(100,100-((F177-1)/(MAX($F$5:$F$265)-1))*100))</x:f>
        <x:v>19.96830427892236</x:v>
      </x:c>
      <x:c r="M177" s="83" t="n">
        <x:f>MAX(0,MIN(100,50+(('Sources &amp; Model'!$B$4-F177)/('Sources &amp; Model'!$B$6*2.5))*45))</x:f>
        <x:v>0</x:v>
      </x:c>
      <x:c r="N177" s="83" t="n">
        <x:f>IF(V177="Mine",0,IF(OR(C177="RB",C177="WR"),MAX(30,62-COUNTIFS($C$5:$C$265,C177,$V$5:$V$265,"Mine")*5),IF(OR(C177="D/ST",C177="K"),IF('Sources &amp; Model'!$B$4&gt;='Sources &amp; Model'!$B$6*('Sources &amp; Model'!$B$8-2),62,12),IF(COUNTIFS($C$5:$C$265,C177,$V$5:$V$265,"Mine")=0,82,38))))</x:f>
        <x:v>82</x:v>
      </x:c>
      <x:c r="O177" s="65" t="n">
        <x:v>58.5</x:v>
      </x:c>
      <x:c r="P177" s="83" t="n">
        <x:f>MAX(0,MIN(100,100/(1+EXP(-(('Sources &amp; Model'!$B$5-F177)/MAX(2.5,I177))))))</x:f>
        <x:v>0.011483995047424709</x:v>
      </x:c>
      <x:c r="Q177" s="65" t="n">
        <x:v>90</x:v>
      </x:c>
      <x:c r="R177" s="65" t="n">
        <x:v>92</x:v>
      </x:c>
      <x:c r="S177" s="65" t="n">
        <x:v>30.8</x:v>
      </x:c>
      <x:c r="T177" s="65" t="n">
        <x:v>49.7</x:v>
      </x:c>
      <x:c r="U177" s="84" t="n">
        <x:f>IF(V177&lt;&gt;"Available","",(L177*'Sources &amp; Model'!$B$13+M177*'Sources &amp; Model'!$B$14+N177*'Sources &amp; Model'!$B$15+O177*'Sources &amp; Model'!$B$16+P177*'Sources &amp; Model'!$B$17+Q177*'Sources &amp; Model'!$B$18+R177*'Sources &amp; Model'!$B$19+S177*'Sources &amp; Model'!$B$20+T177*'Sources &amp; Model'!$B$21)/SUM('Sources &amp; Model'!$B$13:$B$21))</x:f>
        <x:v>36.30337185433834</x:v>
      </x:c>
      <x:c r="V177" s="5" t="str">
        <x:v>Available</x:v>
      </x:c>
      <x:c r="W177" t="str">
        <x:v>https://help.fantasyfootballcalculator.com/article/42-adp-rest-api</x:v>
      </x:c>
    </x:row>
    <x:row r="178">
      <x:c r="A178" s="28" t="n">
        <x:v>174</x:v>
      </x:c>
      <x:c r="B178" s="28" t="str">
        <x:v>De'Zhaun Stribling</x:v>
      </x:c>
      <x:c r="C178" s="28" t="str">
        <x:v>WR</x:v>
      </x:c>
      <x:c r="D178" s="28" t="str">
        <x:v>SF</x:v>
      </x:c>
      <x:c r="E178" s="81" t="n">
        <x:v>8</x:v>
      </x:c>
      <x:c r="F178" s="82" t="n">
        <x:v>152.5</x:v>
      </x:c>
      <x:c r="G178" s="82" t="n">
        <x:v>108</x:v>
      </x:c>
      <x:c r="H178" s="82" t="n">
        <x:v>180</x:v>
      </x:c>
      <x:c r="I178" s="82" t="n">
        <x:v>17</x:v>
      </x:c>
      <x:c r="J178" s="81" t="n">
        <x:v>354</x:v>
      </x:c>
      <x:c r="K178" s="81" t="n">
        <x:v>9</x:v>
      </x:c>
      <x:c r="L178" s="83" t="n">
        <x:f>MAX(0,MIN(100,100-((F178-1)/(MAX($F$5:$F$265)-1))*100))</x:f>
        <x:v>19.96830427892236</x:v>
      </x:c>
      <x:c r="M178" s="83" t="n">
        <x:f>MAX(0,MIN(100,50+(('Sources &amp; Model'!$B$4-F178)/('Sources &amp; Model'!$B$6*2.5))*45))</x:f>
        <x:v>0</x:v>
      </x:c>
      <x:c r="N178" s="83" t="n">
        <x:f>IF(V178="Mine",0,IF(OR(C178="RB",C178="WR"),MAX(30,62-COUNTIFS($C$5:$C$265,C178,$V$5:$V$265,"Mine")*5),IF(OR(C178="D/ST",C178="K"),IF('Sources &amp; Model'!$B$4&gt;='Sources &amp; Model'!$B$6*('Sources &amp; Model'!$B$8-2),62,12),IF(COUNTIFS($C$5:$C$265,C178,$V$5:$V$265,"Mine")=0,82,38))))</x:f>
        <x:v>62</x:v>
      </x:c>
      <x:c r="O178" s="65" t="n">
        <x:v>50.8</x:v>
      </x:c>
      <x:c r="P178" s="83" t="n">
        <x:f>MAX(0,MIN(100,100/(1+EXP(-(('Sources &amp; Model'!$B$5-F178)/MAX(2.5,I178))))))</x:f>
        <x:v>0.01347755857435848</x:v>
      </x:c>
      <x:c r="Q178" s="65" t="n">
        <x:v>50</x:v>
      </x:c>
      <x:c r="R178" s="65" t="n">
        <x:v>92</x:v>
      </x:c>
      <x:c r="S178" s="65" t="n">
        <x:v>39.3</x:v>
      </x:c>
      <x:c r="T178" s="65" t="n">
        <x:v>50</x:v>
      </x:c>
      <x:c r="U178" s="84" t="n">
        <x:f>IF(V178&lt;&gt;"Available","",(L178*'Sources &amp; Model'!$B$13+M178*'Sources &amp; Model'!$B$14+N178*'Sources &amp; Model'!$B$15+O178*'Sources &amp; Model'!$B$16+P178*'Sources &amp; Model'!$B$17+Q178*'Sources &amp; Model'!$B$18+R178*'Sources &amp; Model'!$B$19+S178*'Sources &amp; Model'!$B$20+T178*'Sources &amp; Model'!$B$21)/SUM('Sources &amp; Model'!$B$13:$B$21))</x:f>
        <x:v>30.15257121069104</x:v>
      </x:c>
      <x:c r="V178" s="5" t="str">
        <x:v>Available</x:v>
      </x:c>
      <x:c r="W178" t="str">
        <x:v>https://help.fantasyfootballcalculator.com/article/42-adp-rest-api</x:v>
      </x:c>
    </x:row>
    <x:row r="179">
      <x:c r="A179" s="28" t="n">
        <x:v>175</x:v>
      </x:c>
      <x:c r="B179" s="28" t="str">
        <x:v>Isiah Pacheco</x:v>
      </x:c>
      <x:c r="C179" s="28" t="str">
        <x:v>RB</x:v>
      </x:c>
      <x:c r="D179" s="28" t="str">
        <x:v>DET</x:v>
      </x:c>
      <x:c r="E179" s="81" t="n">
        <x:v>6</x:v>
      </x:c>
      <x:c r="F179" s="82" t="n">
        <x:v>152.5</x:v>
      </x:c>
      <x:c r="G179" s="82" t="n">
        <x:v>103</x:v>
      </x:c>
      <x:c r="H179" s="82" t="n">
        <x:v>180</x:v>
      </x:c>
      <x:c r="I179" s="82" t="n">
        <x:v>18.9</x:v>
      </x:c>
      <x:c r="J179" s="81" t="n">
        <x:v>193</x:v>
      </x:c>
      <x:c r="K179" s="81" t="n">
        <x:v>9</x:v>
      </x:c>
      <x:c r="L179" s="83" t="n">
        <x:f>MAX(0,MIN(100,100-((F179-1)/(MAX($F$5:$F$265)-1))*100))</x:f>
        <x:v>19.96830427892236</x:v>
      </x:c>
      <x:c r="M179" s="83" t="n">
        <x:f>MAX(0,MIN(100,50+(('Sources &amp; Model'!$B$4-F179)/('Sources &amp; Model'!$B$6*2.5))*45))</x:f>
        <x:v>0</x:v>
      </x:c>
      <x:c r="N179" s="83" t="n">
        <x:f>IF(V179="Mine",0,IF(OR(C179="RB",C179="WR"),MAX(30,62-COUNTIFS($C$5:$C$265,C179,$V$5:$V$265,"Mine")*5),IF(OR(C179="D/ST",C179="K"),IF('Sources &amp; Model'!$B$4&gt;='Sources &amp; Model'!$B$6*('Sources &amp; Model'!$B$8-2),62,12),IF(COUNTIFS($C$5:$C$265,C179,$V$5:$V$265,"Mine")=0,82,38))))</x:f>
        <x:v>62</x:v>
      </x:c>
      <x:c r="O179" s="65" t="n">
        <x:v>43.1</x:v>
      </x:c>
      <x:c r="P179" s="83" t="n">
        <x:f>MAX(0,MIN(100,100/(1+EXP(-(('Sources &amp; Model'!$B$5-F179)/MAX(2.5,I179))))))</x:f>
        <x:v>0.03300708791586551</x:v>
      </x:c>
      <x:c r="Q179" s="65" t="n">
        <x:v>68</x:v>
      </x:c>
      <x:c r="R179" s="65" t="n">
        <x:v>52</x:v>
      </x:c>
      <x:c r="S179" s="65" t="n">
        <x:v>45.2</x:v>
      </x:c>
      <x:c r="T179" s="65" t="n">
        <x:v>50</x:v>
      </x:c>
      <x:c r="U179" s="84" t="n">
        <x:f>IF(V179&lt;&gt;"Available","",(L179*'Sources &amp; Model'!$B$13+M179*'Sources &amp; Model'!$B$14+N179*'Sources &amp; Model'!$B$15+O179*'Sources &amp; Model'!$B$16+P179*'Sources &amp; Model'!$B$17+Q179*'Sources &amp; Model'!$B$18+R179*'Sources &amp; Model'!$B$19+S179*'Sources &amp; Model'!$B$20+T179*'Sources &amp; Model'!$B$21)/SUM('Sources &amp; Model'!$B$13:$B$21))</x:f>
        <x:v>28.82852416362519</x:v>
      </x:c>
      <x:c r="V179" s="5" t="str">
        <x:v>Available</x:v>
      </x:c>
      <x:c r="W179" t="str">
        <x:v>https://help.fantasyfootballcalculator.com/article/42-adp-rest-api</x:v>
      </x:c>
    </x:row>
    <x:row r="180">
      <x:c r="A180" s="28" t="n">
        <x:v>176</x:v>
      </x:c>
      <x:c r="B180" s="28" t="str">
        <x:v>Tyrone Tracy</x:v>
      </x:c>
      <x:c r="C180" s="28" t="str">
        <x:v>RB</x:v>
      </x:c>
      <x:c r="D180" s="28" t="str">
        <x:v>NYG</x:v>
      </x:c>
      <x:c r="E180" s="81" t="n">
        <x:v>8</x:v>
      </x:c>
      <x:c r="F180" s="82" t="n">
        <x:v>152.7</x:v>
      </x:c>
      <x:c r="G180" s="82" t="n">
        <x:v>108</x:v>
      </x:c>
      <x:c r="H180" s="82" t="n">
        <x:v>180</x:v>
      </x:c>
      <x:c r="I180" s="82" t="n">
        <x:v>17</x:v>
      </x:c>
      <x:c r="J180" s="81" t="n">
        <x:v>245</x:v>
      </x:c>
      <x:c r="K180" s="81" t="n">
        <x:v>9</x:v>
      </x:c>
      <x:c r="L180" s="83" t="n">
        <x:f>MAX(0,MIN(100,100-((F180-1)/(MAX($F$5:$F$265)-1))*100))</x:f>
        <x:v>19.862651875330172</x:v>
      </x:c>
      <x:c r="M180" s="83" t="n">
        <x:f>MAX(0,MIN(100,50+(('Sources &amp; Model'!$B$4-F180)/('Sources &amp; Model'!$B$6*2.5))*45))</x:f>
        <x:v>0</x:v>
      </x:c>
      <x:c r="N180" s="83" t="n">
        <x:f>IF(V180="Mine",0,IF(OR(C180="RB",C180="WR"),MAX(30,62-COUNTIFS($C$5:$C$265,C180,$V$5:$V$265,"Mine")*5),IF(OR(C180="D/ST",C180="K"),IF('Sources &amp; Model'!$B$4&gt;='Sources &amp; Model'!$B$6*('Sources &amp; Model'!$B$8-2),62,12),IF(COUNTIFS($C$5:$C$265,C180,$V$5:$V$265,"Mine")=0,82,38))))</x:f>
        <x:v>62</x:v>
      </x:c>
      <x:c r="O180" s="65" t="n">
        <x:v>57.4</x:v>
      </x:c>
      <x:c r="P180" s="83" t="n">
        <x:f>MAX(0,MIN(100,100/(1+EXP(-(('Sources &amp; Model'!$B$5-F180)/MAX(2.5,I180))))))</x:f>
        <x:v>0.013319949114104793</x:v>
      </x:c>
      <x:c r="Q180" s="65" t="n">
        <x:v>68</x:v>
      </x:c>
      <x:c r="R180" s="65" t="n">
        <x:v>92</x:v>
      </x:c>
      <x:c r="S180" s="65" t="n">
        <x:v>40.4</x:v>
      </x:c>
      <x:c r="T180" s="65" t="n">
        <x:v>50.4</x:v>
      </x:c>
      <x:c r="U180" s="84" t="n">
        <x:f>IF(V180&lt;&gt;"Available","",(L180*'Sources &amp; Model'!$B$13+M180*'Sources &amp; Model'!$B$14+N180*'Sources &amp; Model'!$B$15+O180*'Sources &amp; Model'!$B$16+P180*'Sources &amp; Model'!$B$17+Q180*'Sources &amp; Model'!$B$18+R180*'Sources &amp; Model'!$B$19+S180*'Sources &amp; Model'!$B$20+T180*'Sources &amp; Model'!$B$21)/SUM('Sources &amp; Model'!$B$13:$B$21))</x:f>
        <x:v>32.014633632523676</x:v>
      </x:c>
      <x:c r="V180" s="5" t="str">
        <x:v>Available</x:v>
      </x:c>
      <x:c r="W180" t="str">
        <x:v>https://help.fantasyfootballcalculator.com/article/42-adp-rest-api</x:v>
      </x:c>
    </x:row>
    <x:row r="181">
      <x:c r="A181" s="28" t="n">
        <x:v>177</x:v>
      </x:c>
      <x:c r="B181" s="28" t="str">
        <x:v>Malik Washington</x:v>
      </x:c>
      <x:c r="C181" s="28" t="str">
        <x:v>WR</x:v>
      </x:c>
      <x:c r="D181" s="28" t="str">
        <x:v>MIA</x:v>
      </x:c>
      <x:c r="E181" s="81" t="n">
        <x:v>6</x:v>
      </x:c>
      <x:c r="F181" s="82" t="n">
        <x:v>154.1</x:v>
      </x:c>
      <x:c r="G181" s="82" t="n">
        <x:v>120</x:v>
      </x:c>
      <x:c r="H181" s="82" t="n">
        <x:v>199</x:v>
      </x:c>
      <x:c r="I181" s="82" t="n">
        <x:v>13.7</x:v>
      </x:c>
      <x:c r="J181" s="81" t="n">
        <x:v>153</x:v>
      </x:c>
      <x:c r="K181" s="81" t="n">
        <x:v>9</x:v>
      </x:c>
      <x:c r="L181" s="83" t="n">
        <x:f>MAX(0,MIN(100,100-((F181-1)/(MAX($F$5:$F$265)-1))*100))</x:f>
        <x:v>19.123085050184898</x:v>
      </x:c>
      <x:c r="M181" s="83" t="n">
        <x:f>MAX(0,MIN(100,50+(('Sources &amp; Model'!$B$4-F181)/('Sources &amp; Model'!$B$6*2.5))*45))</x:f>
        <x:v>0</x:v>
      </x:c>
      <x:c r="N181" s="83" t="n">
        <x:f>IF(V181="Mine",0,IF(OR(C181="RB",C181="WR"),MAX(30,62-COUNTIFS($C$5:$C$265,C181,$V$5:$V$265,"Mine")*5),IF(OR(C181="D/ST",C181="K"),IF('Sources &amp; Model'!$B$4&gt;='Sources &amp; Model'!$B$6*('Sources &amp; Model'!$B$8-2),62,12),IF(COUNTIFS($C$5:$C$265,C181,$V$5:$V$265,"Mine")=0,82,38))))</x:f>
        <x:v>62</x:v>
      </x:c>
      <x:c r="O181" s="65" t="n">
        <x:v>48.6</x:v>
      </x:c>
      <x:c r="P181" s="83" t="n">
        <x:f>MAX(0,MIN(100,100/(1+EXP(-(('Sources &amp; Model'!$B$5-F181)/MAX(2.5,I181))))))</x:f>
        <x:v>0.0014017605264716817</x:v>
      </x:c>
      <x:c r="Q181" s="65" t="n">
        <x:v>68</x:v>
      </x:c>
      <x:c r="R181" s="65" t="n">
        <x:v>92</x:v>
      </x:c>
      <x:c r="S181" s="65" t="n">
        <x:v>50.9</x:v>
      </x:c>
      <x:c r="T181" s="65" t="n">
        <x:v>49.9</x:v>
      </x:c>
      <x:c r="U181" s="84" t="n">
        <x:f>IF(V181&lt;&gt;"Available","",(L181*'Sources &amp; Model'!$B$13+M181*'Sources &amp; Model'!$B$14+N181*'Sources &amp; Model'!$B$15+O181*'Sources &amp; Model'!$B$16+P181*'Sources &amp; Model'!$B$17+Q181*'Sources &amp; Model'!$B$18+R181*'Sources &amp; Model'!$B$19+S181*'Sources &amp; Model'!$B$20+T181*'Sources &amp; Model'!$B$21)/SUM('Sources &amp; Model'!$B$13:$B$21))</x:f>
        <x:v>30.910989093115518</x:v>
      </x:c>
      <x:c r="V181" s="5" t="str">
        <x:v>Available</x:v>
      </x:c>
      <x:c r="W181" t="str">
        <x:v>https://help.fantasyfootballcalculator.com/article/42-adp-rest-api</x:v>
      </x:c>
    </x:row>
    <x:row r="182">
      <x:c r="A182" s="28" t="n">
        <x:v>178</x:v>
      </x:c>
      <x:c r="B182" s="28" t="str">
        <x:v>JAX Defense</x:v>
      </x:c>
      <x:c r="C182" s="28" t="str">
        <x:v>D/ST</x:v>
      </x:c>
      <x:c r="D182" s="28" t="str">
        <x:v>JAX</x:v>
      </x:c>
      <x:c r="E182" s="81" t="n">
        <x:v>7</x:v>
      </x:c>
      <x:c r="F182" s="82" t="n">
        <x:v>154.3</x:v>
      </x:c>
      <x:c r="G182" s="82" t="n">
        <x:v>117</x:v>
      </x:c>
      <x:c r="H182" s="82" t="n">
        <x:v>192</x:v>
      </x:c>
      <x:c r="I182" s="82" t="n">
        <x:v>14.1</x:v>
      </x:c>
      <x:c r="J182" s="81" t="n">
        <x:v>295</x:v>
      </x:c>
      <x:c r="K182" s="81" t="n">
        <x:v>4</x:v>
      </x:c>
      <x:c r="L182" s="83" t="n">
        <x:f>MAX(0,MIN(100,100-((F182-1)/(MAX($F$5:$F$265)-1))*100))</x:f>
        <x:v>19.01743264659271</x:v>
      </x:c>
      <x:c r="M182" s="83" t="n">
        <x:f>MAX(0,MIN(100,50+(('Sources &amp; Model'!$B$4-F182)/('Sources &amp; Model'!$B$6*2.5))*45))</x:f>
        <x:v>0</x:v>
      </x:c>
      <x:c r="N182" s="83" t="n">
        <x:f>IF(V182="Mine",0,IF(OR(C182="RB",C182="WR"),MAX(30,62-COUNTIFS($C$5:$C$265,C182,$V$5:$V$265,"Mine")*5),IF(OR(C182="D/ST",C182="K"),IF('Sources &amp; Model'!$B$4&gt;='Sources &amp; Model'!$B$6*('Sources &amp; Model'!$B$8-2),62,12),IF(COUNTIFS($C$5:$C$265,C182,$V$5:$V$265,"Mine")=0,82,38))))</x:f>
        <x:v>12</x:v>
      </x:c>
      <x:c r="O182" s="65" t="n">
        <x:v>50.8</x:v>
      </x:c>
      <x:c r="P182" s="83" t="n">
        <x:f>MAX(0,MIN(100,100/(1+EXP(-(('Sources &amp; Model'!$B$5-F182)/MAX(2.5,I182))))))</x:f>
        <x:v>0.0018975547122098645</x:v>
      </x:c>
      <x:c r="Q182" s="65" t="n">
        <x:v>68</x:v>
      </x:c>
      <x:c r="R182" s="65" t="n">
        <x:v>92</x:v>
      </x:c>
      <x:c r="S182" s="65" t="n">
        <x:v>38.4</x:v>
      </x:c>
      <x:c r="T182" s="65" t="n">
        <x:v>50</x:v>
      </x:c>
      <x:c r="U182" s="84" t="n">
        <x:f>IF(V182&lt;&gt;"Available","",(L182*'Sources &amp; Model'!$B$13+M182*'Sources &amp; Model'!$B$14+N182*'Sources &amp; Model'!$B$15+O182*'Sources &amp; Model'!$B$16+P182*'Sources &amp; Model'!$B$17+Q182*'Sources &amp; Model'!$B$18+R182*'Sources &amp; Model'!$B$19+S182*'Sources &amp; Model'!$B$20+T182*'Sources &amp; Model'!$B$21)/SUM('Sources &amp; Model'!$B$13:$B$21))</x:f>
        <x:v>23.390116855312744</x:v>
      </x:c>
      <x:c r="V182" s="5" t="str">
        <x:v>Available</x:v>
      </x:c>
      <x:c r="W182" t="str">
        <x:v>https://help.fantasyfootballcalculator.com/article/42-adp-rest-api</x:v>
      </x:c>
    </x:row>
    <x:row r="183">
      <x:c r="A183" s="28" t="n">
        <x:v>179</x:v>
      </x:c>
      <x:c r="B183" s="28" t="str">
        <x:v>Jalen Nailor</x:v>
      </x:c>
      <x:c r="C183" s="28" t="str">
        <x:v>WR</x:v>
      </x:c>
      <x:c r="D183" s="28" t="str">
        <x:v>LV</x:v>
      </x:c>
      <x:c r="E183" s="81" t="n">
        <x:v>13</x:v>
      </x:c>
      <x:c r="F183" s="82" t="n">
        <x:v>155.3</x:v>
      </x:c>
      <x:c r="G183" s="82" t="n">
        <x:v>124</x:v>
      </x:c>
      <x:c r="H183" s="82" t="n">
        <x:v>180</x:v>
      </x:c>
      <x:c r="I183" s="82" t="n">
        <x:v>12.3</x:v>
      </x:c>
      <x:c r="J183" s="81" t="n">
        <x:v>109</x:v>
      </x:c>
      <x:c r="K183" s="81" t="n">
        <x:v>10</x:v>
      </x:c>
      <x:c r="L183" s="83" t="n">
        <x:f>MAX(0,MIN(100,100-((F183-1)/(MAX($F$5:$F$265)-1))*100))</x:f>
        <x:v>18.489170628631797</x:v>
      </x:c>
      <x:c r="M183" s="83" t="n">
        <x:f>MAX(0,MIN(100,50+(('Sources &amp; Model'!$B$4-F183)/('Sources &amp; Model'!$B$6*2.5))*45))</x:f>
        <x:v>0</x:v>
      </x:c>
      <x:c r="N183" s="83" t="n">
        <x:f>IF(V183="Mine",0,IF(OR(C183="RB",C183="WR"),MAX(30,62-COUNTIFS($C$5:$C$265,C183,$V$5:$V$265,"Mine")*5),IF(OR(C183="D/ST",C183="K"),IF('Sources &amp; Model'!$B$4&gt;='Sources &amp; Model'!$B$6*('Sources &amp; Model'!$B$8-2),62,12),IF(COUNTIFS($C$5:$C$265,C183,$V$5:$V$265,"Mine")=0,82,38))))</x:f>
        <x:v>62</x:v>
      </x:c>
      <x:c r="O183" s="65" t="n">
        <x:v>55.2</x:v>
      </x:c>
      <x:c r="P183" s="83" t="n">
        <x:f>MAX(0,MIN(100,100/(1+EXP(-(('Sources &amp; Model'!$B$5-F183)/MAX(2.5,I183))))))</x:f>
        <x:v>0.00035636722608007346</x:v>
      </x:c>
      <x:c r="Q183" s="65" t="n">
        <x:v>68</x:v>
      </x:c>
      <x:c r="R183" s="65" t="n">
        <x:v>92</x:v>
      </x:c>
      <x:c r="S183" s="65" t="n">
        <x:v>58.4</x:v>
      </x:c>
      <x:c r="T183" s="65" t="n">
        <x:v>49.8</x:v>
      </x:c>
      <x:c r="U183" s="84" t="n">
        <x:f>IF(V183&lt;&gt;"Available","",(L183*'Sources &amp; Model'!$B$13+M183*'Sources &amp; Model'!$B$14+N183*'Sources &amp; Model'!$B$15+O183*'Sources &amp; Model'!$B$16+P183*'Sources &amp; Model'!$B$17+Q183*'Sources &amp; Model'!$B$18+R183*'Sources &amp; Model'!$B$19+S183*'Sources &amp; Model'!$B$20+T183*'Sources &amp; Model'!$B$21)/SUM('Sources &amp; Model'!$B$13:$B$21))</x:f>
        <x:v>31.636353650457426</x:v>
      </x:c>
      <x:c r="V183" s="5" t="str">
        <x:v>Available</x:v>
      </x:c>
      <x:c r="W183" t="str">
        <x:v>https://help.fantasyfootballcalculator.com/article/42-adp-rest-api</x:v>
      </x:c>
    </x:row>
    <x:row r="184">
      <x:c r="A184" s="28" t="n">
        <x:v>180</x:v>
      </x:c>
      <x:c r="B184" s="28" t="str">
        <x:v>Dalton Schultz</x:v>
      </x:c>
      <x:c r="C184" s="28" t="str">
        <x:v>TE</x:v>
      </x:c>
      <x:c r="D184" s="28" t="str">
        <x:v>HOU</x:v>
      </x:c>
      <x:c r="E184" s="81" t="n">
        <x:v>8</x:v>
      </x:c>
      <x:c r="F184" s="82" t="n">
        <x:v>155.5</x:v>
      </x:c>
      <x:c r="G184" s="82" t="n">
        <x:v>109</x:v>
      </x:c>
      <x:c r="H184" s="82" t="n">
        <x:v>201</x:v>
      </x:c>
      <x:c r="I184" s="82" t="n">
        <x:v>27.1</x:v>
      </x:c>
      <x:c r="J184" s="81" t="n">
        <x:v>21</x:v>
      </x:c>
      <x:c r="K184" s="81" t="n">
        <x:v>6</x:v>
      </x:c>
      <x:c r="L184" s="83" t="n">
        <x:f>MAX(0,MIN(100,100-((F184-1)/(MAX($F$5:$F$265)-1))*100))</x:f>
        <x:v>18.383518225039637</x:v>
      </x:c>
      <x:c r="M184" s="83" t="n">
        <x:f>MAX(0,MIN(100,50+(('Sources &amp; Model'!$B$4-F184)/('Sources &amp; Model'!$B$6*2.5))*45))</x:f>
        <x:v>0</x:v>
      </x:c>
      <x:c r="N184" s="83" t="n">
        <x:f>IF(V184="Mine",0,IF(OR(C184="RB",C184="WR"),MAX(30,62-COUNTIFS($C$5:$C$265,C184,$V$5:$V$265,"Mine")*5),IF(OR(C184="D/ST",C184="K"),IF('Sources &amp; Model'!$B$4&gt;='Sources &amp; Model'!$B$6*('Sources &amp; Model'!$B$8-2),62,12),IF(COUNTIFS($C$5:$C$265,C184,$V$5:$V$265,"Mine")=0,82,38))))</x:f>
        <x:v>82</x:v>
      </x:c>
      <x:c r="O184" s="65" t="n">
        <x:v>58.5</x:v>
      </x:c>
      <x:c r="P184" s="83" t="n">
        <x:f>MAX(0,MIN(100,100/(1+EXP(-(('Sources &amp; Model'!$B$5-F184)/MAX(2.5,I184))))))</x:f>
        <x:v>0.3331129972036318</x:v>
      </x:c>
      <x:c r="Q184" s="65" t="n">
        <x:v>90</x:v>
      </x:c>
      <x:c r="R184" s="65" t="n">
        <x:v>92</x:v>
      </x:c>
      <x:c r="S184" s="65" t="n">
        <x:v>37.6</x:v>
      </x:c>
      <x:c r="T184" s="65" t="n">
        <x:v>50.1</x:v>
      </x:c>
      <x:c r="U184" s="84" t="n">
        <x:f>IF(V184&lt;&gt;"Available","",(L184*'Sources &amp; Model'!$B$13+M184*'Sources &amp; Model'!$B$14+N184*'Sources &amp; Model'!$B$15+O184*'Sources &amp; Model'!$B$16+P184*'Sources &amp; Model'!$B$17+Q184*'Sources &amp; Model'!$B$18+R184*'Sources &amp; Model'!$B$19+S184*'Sources &amp; Model'!$B$20+T184*'Sources &amp; Model'!$B$21)/SUM('Sources &amp; Model'!$B$13:$B$21))</x:f>
        <x:v>35.936707496233836</x:v>
      </x:c>
      <x:c r="V184" s="5" t="str">
        <x:v>Available</x:v>
      </x:c>
      <x:c r="W184" t="str">
        <x:v>https://help.fantasyfootballcalculator.com/article/42-adp-rest-api</x:v>
      </x:c>
    </x:row>
    <x:row r="185">
      <x:c r="A185" s="28" t="n">
        <x:v>181</x:v>
      </x:c>
      <x:c r="B185" s="28" t="str">
        <x:v>Kimani Vidal</x:v>
      </x:c>
      <x:c r="C185" s="28" t="str">
        <x:v>RB</x:v>
      </x:c>
      <x:c r="D185" s="28" t="str">
        <x:v>LAC</x:v>
      </x:c>
      <x:c r="E185" s="81" t="n">
        <x:v>7</x:v>
      </x:c>
      <x:c r="F185" s="82" t="n">
        <x:v>155.5</x:v>
      </x:c>
      <x:c r="G185" s="82" t="n">
        <x:v>99</x:v>
      </x:c>
      <x:c r="H185" s="82" t="n">
        <x:v>177</x:v>
      </x:c>
      <x:c r="I185" s="82" t="n">
        <x:v>23.6</x:v>
      </x:c>
      <x:c r="J185" s="81" t="n">
        <x:v>12</x:v>
      </x:c>
      <x:c r="K185" s="81" t="n">
        <x:v>10</x:v>
      </x:c>
      <x:c r="L185" s="83" t="n">
        <x:f>MAX(0,MIN(100,100-((F185-1)/(MAX($F$5:$F$265)-1))*100))</x:f>
        <x:v>18.383518225039637</x:v>
      </x:c>
      <x:c r="M185" s="83" t="n">
        <x:f>MAX(0,MIN(100,50+(('Sources &amp; Model'!$B$4-F185)/('Sources &amp; Model'!$B$6*2.5))*45))</x:f>
        <x:v>0</x:v>
      </x:c>
      <x:c r="N185" s="83" t="n">
        <x:f>IF(V185="Mine",0,IF(OR(C185="RB",C185="WR"),MAX(30,62-COUNTIFS($C$5:$C$265,C185,$V$5:$V$265,"Mine")*5),IF(OR(C185="D/ST",C185="K"),IF('Sources &amp; Model'!$B$4&gt;='Sources &amp; Model'!$B$6*('Sources &amp; Model'!$B$8-2),62,12),IF(COUNTIFS($C$5:$C$265,C185,$V$5:$V$265,"Mine")=0,82,38))))</x:f>
        <x:v>62</x:v>
      </x:c>
      <x:c r="O185" s="65" t="n">
        <x:v>43.1</x:v>
      </x:c>
      <x:c r="P185" s="83" t="n">
        <x:f>MAX(0,MIN(100,100/(1+EXP(-(('Sources &amp; Model'!$B$5-F185)/MAX(2.5,I185))))))</x:f>
        <x:v>0.14329154806543215</x:v>
      </x:c>
      <x:c r="Q185" s="65" t="n">
        <x:v>50</x:v>
      </x:c>
      <x:c r="R185" s="65" t="n">
        <x:v>92</x:v>
      </x:c>
      <x:c r="S185" s="65" t="n">
        <x:v>54.4</x:v>
      </x:c>
      <x:c r="T185" s="65" t="n">
        <x:v>50.1</x:v>
      </x:c>
      <x:c r="U185" s="84" t="n">
        <x:f>IF(V185&lt;&gt;"Available","",(L185*'Sources &amp; Model'!$B$13+M185*'Sources &amp; Model'!$B$14+N185*'Sources &amp; Model'!$B$15+O185*'Sources &amp; Model'!$B$16+P185*'Sources &amp; Model'!$B$17+Q185*'Sources &amp; Model'!$B$18+R185*'Sources &amp; Model'!$B$19+S185*'Sources &amp; Model'!$B$20+T185*'Sources &amp; Model'!$B$21)/SUM('Sources &amp; Model'!$B$13:$B$21))</x:f>
        <x:v>29.00572535132002</x:v>
      </x:c>
      <x:c r="V185" s="5" t="str">
        <x:v>Available</x:v>
      </x:c>
      <x:c r="W185" t="str">
        <x:v>https://help.fantasyfootballcalculator.com/article/42-adp-rest-api</x:v>
      </x:c>
    </x:row>
    <x:row r="186">
      <x:c r="A186" s="28" t="n">
        <x:v>182</x:v>
      </x:c>
      <x:c r="B186" s="28" t="str">
        <x:v>Nick Folk</x:v>
      </x:c>
      <x:c r="C186" s="28" t="str">
        <x:v>K</x:v>
      </x:c>
      <x:c r="D186" s="28" t="str">
        <x:v>ATL</x:v>
      </x:c>
      <x:c r="E186" s="81" t="n">
        <x:v>11</x:v>
      </x:c>
      <x:c r="F186" s="82" t="n">
        <x:v>155.6</x:v>
      </x:c>
      <x:c r="G186" s="82" t="n">
        <x:v>137</x:v>
      </x:c>
      <x:c r="H186" s="82" t="n">
        <x:v>180</x:v>
      </x:c>
      <x:c r="I186" s="82" t="n">
        <x:v>13</x:v>
      </x:c>
      <x:c r="J186" s="81" t="n">
        <x:v>39</x:v>
      </x:c>
      <x:c r="K186" s="81" t="n">
        <x:v>3</x:v>
      </x:c>
      <x:c r="L186" s="83" t="n">
        <x:f>MAX(0,MIN(100,100-((F186-1)/(MAX($F$5:$F$265)-1))*100))</x:f>
        <x:v>18.33069202324353</x:v>
      </x:c>
      <x:c r="M186" s="83" t="n">
        <x:f>MAX(0,MIN(100,50+(('Sources &amp; Model'!$B$4-F186)/('Sources &amp; Model'!$B$6*2.5))*45))</x:f>
        <x:v>0</x:v>
      </x:c>
      <x:c r="N186" s="83" t="n">
        <x:f>IF(V186="Mine",0,IF(OR(C186="RB",C186="WR"),MAX(30,62-COUNTIFS($C$5:$C$265,C186,$V$5:$V$265,"Mine")*5),IF(OR(C186="D/ST",C186="K"),IF('Sources &amp; Model'!$B$4&gt;='Sources &amp; Model'!$B$6*('Sources &amp; Model'!$B$8-2),62,12),IF(COUNTIFS($C$5:$C$265,C186,$V$5:$V$265,"Mine")=0,82,38))))</x:f>
        <x:v>12</x:v>
      </x:c>
      <x:c r="O186" s="65" t="n">
        <x:v>47</x:v>
      </x:c>
      <x:c r="P186" s="83" t="n">
        <x:f>MAX(0,MIN(100,100/(1+EXP(-(('Sources &amp; Model'!$B$5-F186)/MAX(2.5,I186))))))</x:f>
        <x:v>0.0006842793282042573</x:v>
      </x:c>
      <x:c r="Q186" s="65" t="n">
        <x:v>68</x:v>
      </x:c>
      <x:c r="R186" s="65" t="n">
        <x:v>92</x:v>
      </x:c>
      <x:c r="S186" s="65" t="n">
        <x:v>42.1</x:v>
      </x:c>
      <x:c r="T186" s="65" t="n">
        <x:v>50</x:v>
      </x:c>
      <x:c r="U186" s="84" t="n">
        <x:f>IF(V186&lt;&gt;"Available","",(L186*'Sources &amp; Model'!$B$13+M186*'Sources &amp; Model'!$B$14+N186*'Sources &amp; Model'!$B$15+O186*'Sources &amp; Model'!$B$16+P186*'Sources &amp; Model'!$B$17+Q186*'Sources &amp; Model'!$B$18+R186*'Sources &amp; Model'!$B$19+S186*'Sources &amp; Model'!$B$20+T186*'Sources &amp; Model'!$B$21)/SUM('Sources &amp; Model'!$B$13:$B$21))</x:f>
        <x:v>22.774503715835618</x:v>
      </x:c>
      <x:c r="V186" s="5" t="str">
        <x:v>Available</x:v>
      </x:c>
      <x:c r="W186" t="str">
        <x:v>https://help.fantasyfootballcalculator.com/article/42-adp-rest-api</x:v>
      </x:c>
    </x:row>
    <x:row r="187">
      <x:c r="A187" s="28" t="n">
        <x:v>183</x:v>
      </x:c>
      <x:c r="B187" s="28" t="str">
        <x:v>Braelon Allen</x:v>
      </x:c>
      <x:c r="C187" s="28" t="str">
        <x:v>RB</x:v>
      </x:c>
      <x:c r="D187" s="28" t="str">
        <x:v>NYJ</x:v>
      </x:c>
      <x:c r="E187" s="81" t="n">
        <x:v>13</x:v>
      </x:c>
      <x:c r="F187" s="82" t="n">
        <x:v>155.7</x:v>
      </x:c>
      <x:c r="G187" s="82" t="n">
        <x:v>75</x:v>
      </x:c>
      <x:c r="H187" s="82" t="n">
        <x:v>207</x:v>
      </x:c>
      <x:c r="I187" s="82" t="n">
        <x:v>33.6</x:v>
      </x:c>
      <x:c r="J187" s="81" t="n">
        <x:v>10</x:v>
      </x:c>
      <x:c r="K187" s="81" t="n">
        <x:v>10</x:v>
      </x:c>
      <x:c r="L187" s="83" t="n">
        <x:f>MAX(0,MIN(100,100-((F187-1)/(MAX($F$5:$F$265)-1))*100))</x:f>
        <x:v>18.27786582144745</x:v>
      </x:c>
      <x:c r="M187" s="83" t="n">
        <x:f>MAX(0,MIN(100,50+(('Sources &amp; Model'!$B$4-F187)/('Sources &amp; Model'!$B$6*2.5))*45))</x:f>
        <x:v>0</x:v>
      </x:c>
      <x:c r="N187" s="83" t="n">
        <x:f>IF(V187="Mine",0,IF(OR(C187="RB",C187="WR"),MAX(30,62-COUNTIFS($C$5:$C$265,C187,$V$5:$V$265,"Mine")*5),IF(OR(C187="D/ST",C187="K"),IF('Sources &amp; Model'!$B$4&gt;='Sources &amp; Model'!$B$6*('Sources &amp; Model'!$B$8-2),62,12),IF(COUNTIFS($C$5:$C$265,C187,$V$5:$V$265,"Mine")=0,82,38))))</x:f>
        <x:v>62</x:v>
      </x:c>
      <x:c r="O187" s="65" t="n">
        <x:v>47</x:v>
      </x:c>
      <x:c r="P187" s="83" t="n">
        <x:f>MAX(0,MIN(100,100/(1+EXP(-(('Sources &amp; Model'!$B$5-F187)/MAX(2.5,I187))))))</x:f>
        <x:v>0.9910832399124592</x:v>
      </x:c>
      <x:c r="Q187" s="65" t="n">
        <x:v>68</x:v>
      </x:c>
      <x:c r="R187" s="65" t="n">
        <x:v>92</x:v>
      </x:c>
      <x:c r="S187" s="65" t="n">
        <x:v>50.9</x:v>
      </x:c>
      <x:c r="T187" s="65" t="n">
        <x:v>49.9</x:v>
      </x:c>
      <x:c r="U187" s="84" t="n">
        <x:f>IF(V187&lt;&gt;"Available","",(L187*'Sources &amp; Model'!$B$13+M187*'Sources &amp; Model'!$B$14+N187*'Sources &amp; Model'!$B$15+O187*'Sources &amp; Model'!$B$16+P187*'Sources &amp; Model'!$B$17+Q187*'Sources &amp; Model'!$B$18+R187*'Sources &amp; Model'!$B$19+S187*'Sources &amp; Model'!$B$20+T187*'Sources &amp; Model'!$B$21)/SUM('Sources &amp; Model'!$B$13:$B$21))</x:f>
        <x:v>30.53058270328338</x:v>
      </x:c>
      <x:c r="V187" s="5" t="str">
        <x:v>Available</x:v>
      </x:c>
      <x:c r="W187" t="str">
        <x:v>https://help.fantasyfootballcalculator.com/article/42-adp-rest-api</x:v>
      </x:c>
    </x:row>
    <x:row r="188">
      <x:c r="A188" s="28" t="n">
        <x:v>184</x:v>
      </x:c>
      <x:c r="B188" s="28" t="str">
        <x:v>NYJ Defense</x:v>
      </x:c>
      <x:c r="C188" s="28" t="str">
        <x:v>D/ST</x:v>
      </x:c>
      <x:c r="D188" s="28" t="str">
        <x:v>NYJ</x:v>
      </x:c>
      <x:c r="E188" s="81" t="n">
        <x:v>13</x:v>
      </x:c>
      <x:c r="F188" s="82" t="n">
        <x:v>155.9</x:v>
      </x:c>
      <x:c r="G188" s="82" t="n">
        <x:v>142</x:v>
      </x:c>
      <x:c r="H188" s="82" t="n">
        <x:v>179</x:v>
      </x:c>
      <x:c r="I188" s="82" t="n">
        <x:v>17.4</x:v>
      </x:c>
      <x:c r="J188" s="81" t="n">
        <x:v>7</x:v>
      </x:c>
      <x:c r="K188" s="81" t="n">
        <x:v>4</x:v>
      </x:c>
      <x:c r="L188" s="83" t="n">
        <x:f>MAX(0,MIN(100,100-((F188-1)/(MAX($F$5:$F$265)-1))*100))</x:f>
        <x:v>18.17221341785526</x:v>
      </x:c>
      <x:c r="M188" s="83" t="n">
        <x:f>MAX(0,MIN(100,50+(('Sources &amp; Model'!$B$4-F188)/('Sources &amp; Model'!$B$6*2.5))*45))</x:f>
        <x:v>0</x:v>
      </x:c>
      <x:c r="N188" s="83" t="n">
        <x:f>IF(V188="Mine",0,IF(OR(C188="RB",C188="WR"),MAX(30,62-COUNTIFS($C$5:$C$265,C188,$V$5:$V$265,"Mine")*5),IF(OR(C188="D/ST",C188="K"),IF('Sources &amp; Model'!$B$4&gt;='Sources &amp; Model'!$B$6*('Sources &amp; Model'!$B$8-2),62,12),IF(COUNTIFS($C$5:$C$265,C188,$V$5:$V$265,"Mine")=0,82,38))))</x:f>
        <x:v>12</x:v>
      </x:c>
      <x:c r="O188" s="65" t="n">
        <x:v>66.2</x:v>
      </x:c>
      <x:c r="P188" s="83" t="n">
        <x:f>MAX(0,MIN(100,100/(1+EXP(-(('Sources &amp; Model'!$B$5-F188)/MAX(2.5,I188))))))</x:f>
        <x:v>0.01360572347421135</x:v>
      </x:c>
      <x:c r="Q188" s="65" t="n">
        <x:v>68</x:v>
      </x:c>
      <x:c r="R188" s="65" t="n">
        <x:v>92</x:v>
      </x:c>
      <x:c r="S188" s="65" t="n">
        <x:v>50.9</x:v>
      </x:c>
      <x:c r="T188" s="65" t="n">
        <x:v>50</x:v>
      </x:c>
      <x:c r="U188" s="84" t="n">
        <x:f>IF(V188&lt;&gt;"Available","",(L188*'Sources &amp; Model'!$B$13+M188*'Sources &amp; Model'!$B$14+N188*'Sources &amp; Model'!$B$15+O188*'Sources &amp; Model'!$B$16+P188*'Sources &amp; Model'!$B$17+Q188*'Sources &amp; Model'!$B$18+R188*'Sources &amp; Model'!$B$19+S188*'Sources &amp; Model'!$B$20+T188*'Sources &amp; Model'!$B$21)/SUM('Sources &amp; Model'!$B$13:$B$21))</x:f>
        <x:v>25.20191313441821</x:v>
      </x:c>
      <x:c r="V188" s="5" t="str">
        <x:v>Available</x:v>
      </x:c>
      <x:c r="W188" t="str">
        <x:v>https://help.fantasyfootballcalculator.com/article/42-adp-rest-api</x:v>
      </x:c>
    </x:row>
    <x:row r="189">
      <x:c r="A189" s="28" t="n">
        <x:v>185</x:v>
      </x:c>
      <x:c r="B189" s="28" t="str">
        <x:v>Chase McLaughlin</x:v>
      </x:c>
      <x:c r="C189" s="28" t="str">
        <x:v>K</x:v>
      </x:c>
      <x:c r="D189" s="28" t="str">
        <x:v>TB</x:v>
      </x:c>
      <x:c r="E189" s="81" t="n">
        <x:v>10</x:v>
      </x:c>
      <x:c r="F189" s="82" t="n">
        <x:v>156.5</x:v>
      </x:c>
      <x:c r="G189" s="82" t="n">
        <x:v>136</x:v>
      </x:c>
      <x:c r="H189" s="82" t="n">
        <x:v>210</x:v>
      </x:c>
      <x:c r="I189" s="82" t="n">
        <x:v>14.9</x:v>
      </x:c>
      <x:c r="J189" s="81" t="n">
        <x:v>103</x:v>
      </x:c>
      <x:c r="K189" s="81" t="n">
        <x:v>3</x:v>
      </x:c>
      <x:c r="L189" s="83" t="n">
        <x:f>MAX(0,MIN(100,100-((F189-1)/(MAX($F$5:$F$265)-1))*100))</x:f>
        <x:v>17.855256207078725</x:v>
      </x:c>
      <x:c r="M189" s="83" t="n">
        <x:f>MAX(0,MIN(100,50+(('Sources &amp; Model'!$B$4-F189)/('Sources &amp; Model'!$B$6*2.5))*45))</x:f>
        <x:v>0</x:v>
      </x:c>
      <x:c r="N189" s="83" t="n">
        <x:f>IF(V189="Mine",0,IF(OR(C189="RB",C189="WR"),MAX(30,62-COUNTIFS($C$5:$C$265,C189,$V$5:$V$265,"Mine")*5),IF(OR(C189="D/ST",C189="K"),IF('Sources &amp; Model'!$B$4&gt;='Sources &amp; Model'!$B$6*('Sources &amp; Model'!$B$8-2),62,12),IF(COUNTIFS($C$5:$C$265,C189,$V$5:$V$265,"Mine")=0,82,38))))</x:f>
        <x:v>12</x:v>
      </x:c>
      <x:c r="O189" s="65" t="n">
        <x:v>42</x:v>
      </x:c>
      <x:c r="P189" s="83" t="n">
        <x:f>MAX(0,MIN(100,100/(1+EXP(-(('Sources &amp; Model'!$B$5-F189)/MAX(2.5,I189))))))</x:f>
        <x:v>0.002934844601954808</x:v>
      </x:c>
      <x:c r="Q189" s="65" t="n">
        <x:v>68</x:v>
      </x:c>
      <x:c r="R189" s="65" t="n">
        <x:v>92</x:v>
      </x:c>
      <x:c r="S189" s="65" t="n">
        <x:v>43.9</x:v>
      </x:c>
      <x:c r="T189" s="65" t="n">
        <x:v>50</x:v>
      </x:c>
      <x:c r="U189" s="84" t="n">
        <x:f>IF(V189&lt;&gt;"Available","",(L189*'Sources &amp; Model'!$B$13+M189*'Sources &amp; Model'!$B$14+N189*'Sources &amp; Model'!$B$15+O189*'Sources &amp; Model'!$B$16+P189*'Sources &amp; Model'!$B$17+Q189*'Sources &amp; Model'!$B$18+R189*'Sources &amp; Model'!$B$19+S189*'Sources &amp; Model'!$B$20+T189*'Sources &amp; Model'!$B$21)/SUM('Sources &amp; Model'!$B$13:$B$21))</x:f>
        <x:v>22.049080594866965</x:v>
      </x:c>
      <x:c r="V189" s="5" t="str">
        <x:v>Available</x:v>
      </x:c>
      <x:c r="W189" t="str">
        <x:v>https://help.fantasyfootballcalculator.com/article/42-adp-rest-api</x:v>
      </x:c>
    </x:row>
    <x:row r="190">
      <x:c r="A190" s="28" t="n">
        <x:v>186</x:v>
      </x:c>
      <x:c r="B190" s="28" t="str">
        <x:v>Will Reichard</x:v>
      </x:c>
      <x:c r="C190" s="28" t="str">
        <x:v>K</x:v>
      </x:c>
      <x:c r="D190" s="28" t="str">
        <x:v>MIN</x:v>
      </x:c>
      <x:c r="E190" s="81" t="n">
        <x:v>6</x:v>
      </x:c>
      <x:c r="F190" s="82" t="n">
        <x:v>156.5</x:v>
      </x:c>
      <x:c r="G190" s="82" t="n">
        <x:v>117</x:v>
      </x:c>
      <x:c r="H190" s="82" t="n">
        <x:v>191</x:v>
      </x:c>
      <x:c r="I190" s="82" t="n">
        <x:v>16.3</x:v>
      </x:c>
      <x:c r="J190" s="81" t="n">
        <x:v>81</x:v>
      </x:c>
      <x:c r="K190" s="81" t="n">
        <x:v>3</x:v>
      </x:c>
      <x:c r="L190" s="83" t="n">
        <x:f>MAX(0,MIN(100,100-((F190-1)/(MAX($F$5:$F$265)-1))*100))</x:f>
        <x:v>17.855256207078725</x:v>
      </x:c>
      <x:c r="M190" s="83" t="n">
        <x:f>MAX(0,MIN(100,50+(('Sources &amp; Model'!$B$4-F190)/('Sources &amp; Model'!$B$6*2.5))*45))</x:f>
        <x:v>0</x:v>
      </x:c>
      <x:c r="N190" s="83" t="n">
        <x:f>IF(V190="Mine",0,IF(OR(C190="RB",C190="WR"),MAX(30,62-COUNTIFS($C$5:$C$265,C190,$V$5:$V$265,"Mine")*5),IF(OR(C190="D/ST",C190="K"),IF('Sources &amp; Model'!$B$4&gt;='Sources &amp; Model'!$B$6*('Sources &amp; Model'!$B$8-2),62,12),IF(COUNTIFS($C$5:$C$265,C190,$V$5:$V$265,"Mine")=0,82,38))))</x:f>
        <x:v>12</x:v>
      </x:c>
      <x:c r="O190" s="65" t="n">
        <x:v>50.8</x:v>
      </x:c>
      <x:c r="P190" s="83" t="n">
        <x:f>MAX(0,MIN(100,100/(1+EXP(-(('Sources &amp; Model'!$B$5-F190)/MAX(2.5,I190))))))</x:f>
        <x:v>0.007192049942152018</x:v>
      </x:c>
      <x:c r="Q190" s="65" t="n">
        <x:v>68</x:v>
      </x:c>
      <x:c r="R190" s="65" t="n">
        <x:v>92</x:v>
      </x:c>
      <x:c r="S190" s="65" t="n">
        <x:v>53.6</x:v>
      </x:c>
      <x:c r="T190" s="65" t="n">
        <x:v>50</x:v>
      </x:c>
      <x:c r="U190" s="84" t="n">
        <x:f>IF(V190&lt;&gt;"Available","",(L190*'Sources &amp; Model'!$B$13+M190*'Sources &amp; Model'!$B$14+N190*'Sources &amp; Model'!$B$15+O190*'Sources &amp; Model'!$B$16+P190*'Sources &amp; Model'!$B$17+Q190*'Sources &amp; Model'!$B$18+R190*'Sources &amp; Model'!$B$19+S190*'Sources &amp; Model'!$B$20+T190*'Sources &amp; Model'!$B$21)/SUM('Sources &amp; Model'!$B$13:$B$21))</x:f>
        <x:v>23.299506315400976</x:v>
      </x:c>
      <x:c r="V190" s="5" t="str">
        <x:v>Available</x:v>
      </x:c>
      <x:c r="W190" t="str">
        <x:v>https://help.fantasyfootballcalculator.com/article/42-adp-rest-api</x:v>
      </x:c>
    </x:row>
    <x:row r="191">
      <x:c r="A191" s="28" t="n">
        <x:v>187</x:v>
      </x:c>
      <x:c r="B191" s="28" t="str">
        <x:v>MarShawn Lloyd</x:v>
      </x:c>
      <x:c r="C191" s="28" t="str">
        <x:v>RB</x:v>
      </x:c>
      <x:c r="D191" s="28" t="str">
        <x:v>GB</x:v>
      </x:c>
      <x:c r="E191" s="81" t="n">
        <x:v>11</x:v>
      </x:c>
      <x:c r="F191" s="82" t="n">
        <x:v>156.6</x:v>
      </x:c>
      <x:c r="G191" s="82" t="n">
        <x:v>104</x:v>
      </x:c>
      <x:c r="H191" s="82" t="n">
        <x:v>185</x:v>
      </x:c>
      <x:c r="I191" s="82" t="n">
        <x:v>22.1</x:v>
      </x:c>
      <x:c r="J191" s="81" t="n">
        <x:v>19</x:v>
      </x:c>
      <x:c r="K191" s="81" t="n">
        <x:v>10</x:v>
      </x:c>
      <x:c r="L191" s="83" t="n">
        <x:f>MAX(0,MIN(100,100-((F191-1)/(MAX($F$5:$F$265)-1))*100))</x:f>
        <x:v>17.80243000528263</x:v>
      </x:c>
      <x:c r="M191" s="83" t="n">
        <x:f>MAX(0,MIN(100,50+(('Sources &amp; Model'!$B$4-F191)/('Sources &amp; Model'!$B$6*2.5))*45))</x:f>
        <x:v>0</x:v>
      </x:c>
      <x:c r="N191" s="83" t="n">
        <x:f>IF(V191="Mine",0,IF(OR(C191="RB",C191="WR"),MAX(30,62-COUNTIFS($C$5:$C$265,C191,$V$5:$V$265,"Mine")*5),IF(OR(C191="D/ST",C191="K"),IF('Sources &amp; Model'!$B$4&gt;='Sources &amp; Model'!$B$6*('Sources &amp; Model'!$B$8-2),62,12),IF(COUNTIFS($C$5:$C$265,C191,$V$5:$V$265,"Mine")=0,82,38))))</x:f>
        <x:v>62</x:v>
      </x:c>
      <x:c r="O191" s="65" t="n">
        <x:v>60.7</x:v>
      </x:c>
      <x:c r="P191" s="83" t="n">
        <x:f>MAX(0,MIN(100,100/(1+EXP(-(('Sources &amp; Model'!$B$5-F191)/MAX(2.5,I191))))))</x:f>
        <x:v>0.08747266754031359</x:v>
      </x:c>
      <x:c r="Q191" s="65" t="n">
        <x:v>68</x:v>
      </x:c>
      <x:c r="R191" s="65" t="n">
        <x:v>92</x:v>
      </x:c>
      <x:c r="S191" s="65" t="n">
        <x:v>41.8</x:v>
      </x:c>
      <x:c r="T191" s="65" t="n">
        <x:v>50</x:v>
      </x:c>
      <x:c r="U191" s="84" t="n">
        <x:f>IF(V191&lt;&gt;"Available","",(L191*'Sources &amp; Model'!$B$13+M191*'Sources &amp; Model'!$B$14+N191*'Sources &amp; Model'!$B$15+O191*'Sources &amp; Model'!$B$16+P191*'Sources &amp; Model'!$B$17+Q191*'Sources &amp; Model'!$B$18+R191*'Sources &amp; Model'!$B$19+S191*'Sources &amp; Model'!$B$20+T191*'Sources &amp; Model'!$B$21)/SUM('Sources &amp; Model'!$B$13:$B$21))</x:f>
        <x:v>31.741573468550122</x:v>
      </x:c>
      <x:c r="V191" s="5" t="str">
        <x:v>Available</x:v>
      </x:c>
      <x:c r="W191" t="str">
        <x:v>https://help.fantasyfootballcalculator.com/article/42-adp-rest-api</x:v>
      </x:c>
    </x:row>
    <x:row r="192">
      <x:c r="A192" s="28" t="n">
        <x:v>188</x:v>
      </x:c>
      <x:c r="B192" s="28" t="str">
        <x:v>Cooper Kupp</x:v>
      </x:c>
      <x:c r="C192" s="28" t="str">
        <x:v>WR</x:v>
      </x:c>
      <x:c r="D192" s="28" t="str">
        <x:v>SEA</x:v>
      </x:c>
      <x:c r="E192" s="81" t="n">
        <x:v>11</x:v>
      </x:c>
      <x:c r="F192" s="82" t="n">
        <x:v>157.7</x:v>
      </x:c>
      <x:c r="G192" s="82" t="n">
        <x:v>104</x:v>
      </x:c>
      <x:c r="H192" s="82" t="n">
        <x:v>180</x:v>
      </x:c>
      <x:c r="I192" s="82" t="n">
        <x:v>20.6</x:v>
      </x:c>
      <x:c r="J192" s="81" t="n">
        <x:v>99</x:v>
      </x:c>
      <x:c r="K192" s="81" t="n">
        <x:v>10</x:v>
      </x:c>
      <x:c r="L192" s="83" t="n">
        <x:f>MAX(0,MIN(100,100-((F192-1)/(MAX($F$5:$F$265)-1))*100))</x:f>
        <x:v>17.221341785525638</x:v>
      </x:c>
      <x:c r="M192" s="83" t="n">
        <x:f>MAX(0,MIN(100,50+(('Sources &amp; Model'!$B$4-F192)/('Sources &amp; Model'!$B$6*2.5))*45))</x:f>
        <x:v>0</x:v>
      </x:c>
      <x:c r="N192" s="83" t="n">
        <x:f>IF(V192="Mine",0,IF(OR(C192="RB",C192="WR"),MAX(30,62-COUNTIFS($C$5:$C$265,C192,$V$5:$V$265,"Mine")*5),IF(OR(C192="D/ST",C192="K"),IF('Sources &amp; Model'!$B$4&gt;='Sources &amp; Model'!$B$6*('Sources &amp; Model'!$B$8-2),62,12),IF(COUNTIFS($C$5:$C$265,C192,$V$5:$V$265,"Mine")=0,82,38))))</x:f>
        <x:v>62</x:v>
      </x:c>
      <x:c r="O192" s="65" t="n">
        <x:v>48.1</x:v>
      </x:c>
      <x:c r="P192" s="83" t="n">
        <x:f>MAX(0,MIN(100,100/(1+EXP(-(('Sources &amp; Model'!$B$5-F192)/MAX(2.5,I192))))))</x:f>
        <x:v>0.04968148905592569</x:v>
      </x:c>
      <x:c r="Q192" s="65" t="n">
        <x:v>50</x:v>
      </x:c>
      <x:c r="R192" s="65" t="n">
        <x:v>92</x:v>
      </x:c>
      <x:c r="S192" s="65" t="n">
        <x:v>33.4</x:v>
      </x:c>
      <x:c r="T192" s="65" t="n">
        <x:v>49.5</x:v>
      </x:c>
      <x:c r="U192" s="84" t="n">
        <x:f>IF(V192&lt;&gt;"Available","",(L192*'Sources &amp; Model'!$B$13+M192*'Sources &amp; Model'!$B$14+N192*'Sources &amp; Model'!$B$15+O192*'Sources &amp; Model'!$B$16+P192*'Sources &amp; Model'!$B$17+Q192*'Sources &amp; Model'!$B$18+R192*'Sources &amp; Model'!$B$19+S192*'Sources &amp; Model'!$B$20+T192*'Sources &amp; Model'!$B$21)/SUM('Sources &amp; Model'!$B$13:$B$21))</x:f>
        <x:v>28.77522435598431</x:v>
      </x:c>
      <x:c r="V192" s="5" t="str">
        <x:v>Available</x:v>
      </x:c>
      <x:c r="W192" t="str">
        <x:v>https://help.fantasyfootballcalculator.com/article/42-adp-rest-api</x:v>
      </x:c>
    </x:row>
    <x:row r="193">
      <x:c r="A193" s="28" t="n">
        <x:v>189</x:v>
      </x:c>
      <x:c r="B193" s="28" t="str">
        <x:v>Cam Little</x:v>
      </x:c>
      <x:c r="C193" s="28" t="str">
        <x:v>K</x:v>
      </x:c>
      <x:c r="D193" s="28" t="str">
        <x:v>JAX</x:v>
      </x:c>
      <x:c r="E193" s="81" t="n">
        <x:v>7</x:v>
      </x:c>
      <x:c r="F193" s="82" t="n">
        <x:v>158.1</x:v>
      </x:c>
      <x:c r="G193" s="82" t="n">
        <x:v>112</x:v>
      </x:c>
      <x:c r="H193" s="82" t="n">
        <x:v>204</x:v>
      </x:c>
      <x:c r="I193" s="82" t="n">
        <x:v>18.3</x:v>
      </x:c>
      <x:c r="J193" s="81" t="n">
        <x:v>268</x:v>
      </x:c>
      <x:c r="K193" s="81" t="n">
        <x:v>3</x:v>
      </x:c>
      <x:c r="L193" s="83" t="n">
        <x:f>MAX(0,MIN(100,100-((F193-1)/(MAX($F$5:$F$265)-1))*100))</x:f>
        <x:v>17.010036978341276</x:v>
      </x:c>
      <x:c r="M193" s="83" t="n">
        <x:f>MAX(0,MIN(100,50+(('Sources &amp; Model'!$B$4-F193)/('Sources &amp; Model'!$B$6*2.5))*45))</x:f>
        <x:v>0</x:v>
      </x:c>
      <x:c r="N193" s="83" t="n">
        <x:f>IF(V193="Mine",0,IF(OR(C193="RB",C193="WR"),MAX(30,62-COUNTIFS($C$5:$C$265,C193,$V$5:$V$265,"Mine")*5),IF(OR(C193="D/ST",C193="K"),IF('Sources &amp; Model'!$B$4&gt;='Sources &amp; Model'!$B$6*('Sources &amp; Model'!$B$8-2),62,12),IF(COUNTIFS($C$5:$C$265,C193,$V$5:$V$265,"Mine")=0,82,38))))</x:f>
        <x:v>12</x:v>
      </x:c>
      <x:c r="O193" s="65" t="n">
        <x:v>42</x:v>
      </x:c>
      <x:c r="P193" s="83" t="n">
        <x:f>MAX(0,MIN(100,100/(1+EXP(-(('Sources &amp; Model'!$B$5-F193)/MAX(2.5,I193))))))</x:f>
        <x:v>0.0186909431781894</x:v>
      </x:c>
      <x:c r="Q193" s="65" t="n">
        <x:v>68</x:v>
      </x:c>
      <x:c r="R193" s="65" t="n">
        <x:v>92</x:v>
      </x:c>
      <x:c r="S193" s="65" t="n">
        <x:v>38.4</x:v>
      </x:c>
      <x:c r="T193" s="65" t="n">
        <x:v>50</x:v>
      </x:c>
      <x:c r="U193" s="84" t="n">
        <x:f>IF(V193&lt;&gt;"Available","",(L193*'Sources &amp; Model'!$B$13+M193*'Sources &amp; Model'!$B$14+N193*'Sources &amp; Model'!$B$15+O193*'Sources &amp; Model'!$B$16+P193*'Sources &amp; Model'!$B$17+Q193*'Sources &amp; Model'!$B$18+R193*'Sources &amp; Model'!$B$19+S193*'Sources &amp; Model'!$B$20+T193*'Sources &amp; Model'!$B$21)/SUM('Sources &amp; Model'!$B$13:$B$21))</x:f>
        <x:v>21.653281666953852</x:v>
      </x:c>
      <x:c r="V193" s="5" t="str">
        <x:v>Available</x:v>
      </x:c>
      <x:c r="W193" t="str">
        <x:v>https://help.fantasyfootballcalculator.com/article/42-adp-rest-api</x:v>
      </x:c>
    </x:row>
    <x:row r="194">
      <x:c r="A194" s="28" t="n">
        <x:v>190</x:v>
      </x:c>
      <x:c r="B194" s="28" t="str">
        <x:v>Chris Boswell</x:v>
      </x:c>
      <x:c r="C194" s="28" t="str">
        <x:v>K</x:v>
      </x:c>
      <x:c r="D194" s="28" t="str">
        <x:v>PIT</x:v>
      </x:c>
      <x:c r="E194" s="81" t="n">
        <x:v>9</x:v>
      </x:c>
      <x:c r="F194" s="82" t="n">
        <x:v>158.1</x:v>
      </x:c>
      <x:c r="G194" s="82" t="n">
        <x:v>118</x:v>
      </x:c>
      <x:c r="H194" s="82" t="n">
        <x:v>206</x:v>
      </x:c>
      <x:c r="I194" s="82" t="n">
        <x:v>18.5</x:v>
      </x:c>
      <x:c r="J194" s="81" t="n">
        <x:v>23</x:v>
      </x:c>
      <x:c r="K194" s="81" t="n">
        <x:v>3</x:v>
      </x:c>
      <x:c r="L194" s="83" t="n">
        <x:f>MAX(0,MIN(100,100-((F194-1)/(MAX($F$5:$F$265)-1))*100))</x:f>
        <x:v>17.010036978341276</x:v>
      </x:c>
      <x:c r="M194" s="83" t="n">
        <x:f>MAX(0,MIN(100,50+(('Sources &amp; Model'!$B$4-F194)/('Sources &amp; Model'!$B$6*2.5))*45))</x:f>
        <x:v>0</x:v>
      </x:c>
      <x:c r="N194" s="83" t="n">
        <x:f>IF(V194="Mine",0,IF(OR(C194="RB",C194="WR"),MAX(30,62-COUNTIFS($C$5:$C$265,C194,$V$5:$V$265,"Mine")*5),IF(OR(C194="D/ST",C194="K"),IF('Sources &amp; Model'!$B$4&gt;='Sources &amp; Model'!$B$6*('Sources &amp; Model'!$B$8-2),62,12),IF(COUNTIFS($C$5:$C$265,C194,$V$5:$V$265,"Mine")=0,82,38))))</x:f>
        <x:v>12</x:v>
      </x:c>
      <x:c r="O194" s="65" t="n">
        <x:v>46.4</x:v>
      </x:c>
      <x:c r="P194" s="83" t="n">
        <x:f>MAX(0,MIN(100,100/(1+EXP(-(('Sources &amp; Model'!$B$5-F194)/MAX(2.5,I194))))))</x:f>
        <x:v>0.02050827512432102</x:v>
      </x:c>
      <x:c r="Q194" s="65" t="n">
        <x:v>68</x:v>
      </x:c>
      <x:c r="R194" s="65" t="n">
        <x:v>92</x:v>
      </x:c>
      <x:c r="S194" s="65" t="n">
        <x:v>33.7</x:v>
      </x:c>
      <x:c r="T194" s="65" t="n">
        <x:v>50</x:v>
      </x:c>
      <x:c r="U194" s="84" t="n">
        <x:f>IF(V194&lt;&gt;"Available","",(L194*'Sources &amp; Model'!$B$13+M194*'Sources &amp; Model'!$B$14+N194*'Sources &amp; Model'!$B$15+O194*'Sources &amp; Model'!$B$16+P194*'Sources &amp; Model'!$B$17+Q194*'Sources &amp; Model'!$B$18+R194*'Sources &amp; Model'!$B$19+S194*'Sources &amp; Model'!$B$20+T194*'Sources &amp; Model'!$B$21)/SUM('Sources &amp; Model'!$B$13:$B$21))</x:f>
        <x:v>22.08746340014847</x:v>
      </x:c>
      <x:c r="V194" s="5" t="str">
        <x:v>Available</x:v>
      </x:c>
      <x:c r="W194" t="str">
        <x:v>https://help.fantasyfootballcalculator.com/article/42-adp-rest-api</x:v>
      </x:c>
    </x:row>
    <x:row r="195">
      <x:c r="A195" s="28" t="n">
        <x:v>191</x:v>
      </x:c>
      <x:c r="B195" s="28" t="str">
        <x:v>Hunter Henry</x:v>
      </x:c>
      <x:c r="C195" s="28" t="str">
        <x:v>TE</x:v>
      </x:c>
      <x:c r="D195" s="28" t="str">
        <x:v>NE</x:v>
      </x:c>
      <x:c r="E195" s="81" t="n">
        <x:v>11</x:v>
      </x:c>
      <x:c r="F195" s="82" t="n">
        <x:v>158.5</x:v>
      </x:c>
      <x:c r="G195" s="82" t="n">
        <x:v>112</x:v>
      </x:c>
      <x:c r="H195" s="82" t="n">
        <x:v>199</x:v>
      </x:c>
      <x:c r="I195" s="82" t="n">
        <x:v>17.8</x:v>
      </x:c>
      <x:c r="J195" s="81" t="n">
        <x:v>71</x:v>
      </x:c>
      <x:c r="K195" s="81" t="n">
        <x:v>6</x:v>
      </x:c>
      <x:c r="L195" s="83" t="n">
        <x:f>MAX(0,MIN(100,100-((F195-1)/(MAX($F$5:$F$265)-1))*100))</x:f>
        <x:v>16.7987321711569</x:v>
      </x:c>
      <x:c r="M195" s="83" t="n">
        <x:f>MAX(0,MIN(100,50+(('Sources &amp; Model'!$B$4-F195)/('Sources &amp; Model'!$B$6*2.5))*45))</x:f>
        <x:v>0</x:v>
      </x:c>
      <x:c r="N195" s="83" t="n">
        <x:f>IF(V195="Mine",0,IF(OR(C195="RB",C195="WR"),MAX(30,62-COUNTIFS($C$5:$C$265,C195,$V$5:$V$265,"Mine")*5),IF(OR(C195="D/ST",C195="K"),IF('Sources &amp; Model'!$B$4&gt;='Sources &amp; Model'!$B$6*('Sources &amp; Model'!$B$8-2),62,12),IF(COUNTIFS($C$5:$C$265,C195,$V$5:$V$265,"Mine")=0,82,38))))</x:f>
        <x:v>82</x:v>
      </x:c>
      <x:c r="O195" s="65" t="n">
        <x:v>43.7</x:v>
      </x:c>
      <x:c r="P195" s="83" t="n">
        <x:f>MAX(0,MIN(100,100/(1+EXP(-(('Sources &amp; Model'!$B$5-F195)/MAX(2.5,I195))))))</x:f>
        <x:v>0.01436029698692409</x:v>
      </x:c>
      <x:c r="Q195" s="65" t="n">
        <x:v>90</x:v>
      </x:c>
      <x:c r="R195" s="65" t="n">
        <x:v>92</x:v>
      </x:c>
      <x:c r="S195" s="65" t="n">
        <x:v>40.6</x:v>
      </x:c>
      <x:c r="T195" s="65" t="n">
        <x:v>50.1</x:v>
      </x:c>
      <x:c r="U195" s="84" t="n">
        <x:f>IF(V195&lt;&gt;"Available","",(L195*'Sources &amp; Model'!$B$13+M195*'Sources &amp; Model'!$B$14+N195*'Sources &amp; Model'!$B$15+O195*'Sources &amp; Model'!$B$16+P195*'Sources &amp; Model'!$B$17+Q195*'Sources &amp; Model'!$B$18+R195*'Sources &amp; Model'!$B$19+S195*'Sources &amp; Model'!$B$20+T195*'Sources &amp; Model'!$B$21)/SUM('Sources &amp; Model'!$B$13:$B$21))</x:f>
        <x:v>33.65000496789204</x:v>
      </x:c>
      <x:c r="V195" s="5" t="str">
        <x:v>Available</x:v>
      </x:c>
      <x:c r="W195" t="str">
        <x:v>https://help.fantasyfootballcalculator.com/article/42-adp-rest-api</x:v>
      </x:c>
    </x:row>
    <x:row r="196">
      <x:c r="A196" s="28" t="n">
        <x:v>192</x:v>
      </x:c>
      <x:c r="B196" s="28" t="str">
        <x:v>Cyrus Allen</x:v>
      </x:c>
      <x:c r="C196" s="28" t="str">
        <x:v>WR</x:v>
      </x:c>
      <x:c r="D196" s="28" t="str">
        <x:v>KC</x:v>
      </x:c>
      <x:c r="E196" s="81" t="n">
        <x:v>5</x:v>
      </x:c>
      <x:c r="F196" s="82" t="n">
        <x:v>158.8</x:v>
      </x:c>
      <x:c r="G196" s="82" t="n">
        <x:v>126</x:v>
      </x:c>
      <x:c r="H196" s="82" t="n">
        <x:v>180</x:v>
      </x:c>
      <x:c r="I196" s="82" t="n">
        <x:v>22.5</x:v>
      </x:c>
      <x:c r="J196" s="81" t="n">
        <x:v>5</x:v>
      </x:c>
      <x:c r="K196" s="81" t="n">
        <x:v>10</x:v>
      </x:c>
      <x:c r="L196" s="83" t="n">
        <x:f>MAX(0,MIN(100,100-((F196-1)/(MAX($F$5:$F$265)-1))*100))</x:f>
        <x:v>16.64025356576863</x:v>
      </x:c>
      <x:c r="M196" s="83" t="n">
        <x:f>MAX(0,MIN(100,50+(('Sources &amp; Model'!$B$4-F196)/('Sources &amp; Model'!$B$6*2.5))*45))</x:f>
        <x:v>0</x:v>
      </x:c>
      <x:c r="N196" s="83" t="n">
        <x:f>IF(V196="Mine",0,IF(OR(C196="RB",C196="WR"),MAX(30,62-COUNTIFS($C$5:$C$265,C196,$V$5:$V$265,"Mine")*5),IF(OR(C196="D/ST",C196="K"),IF('Sources &amp; Model'!$B$4&gt;='Sources &amp; Model'!$B$6*('Sources &amp; Model'!$B$8-2),62,12),IF(COUNTIFS($C$5:$C$265,C196,$V$5:$V$265,"Mine")=0,82,38))))</x:f>
        <x:v>62</x:v>
      </x:c>
      <x:c r="O196" s="65" t="n">
        <x:v>51.3</x:v>
      </x:c>
      <x:c r="P196" s="83" t="n">
        <x:f>MAX(0,MIN(100,100/(1+EXP(-(('Sources &amp; Model'!$B$5-F196)/MAX(2.5,I196))))))</x:f>
        <x:v>0.08989953166752991</x:v>
      </x:c>
      <x:c r="Q196" s="65" t="n">
        <x:v>35</x:v>
      </x:c>
      <x:c r="R196" s="65" t="n">
        <x:v>92</x:v>
      </x:c>
      <x:c r="S196" s="65" t="n">
        <x:v>41.3</x:v>
      </x:c>
      <x:c r="T196" s="65" t="n">
        <x:v>50</x:v>
      </x:c>
      <x:c r="U196" s="84" t="n">
        <x:f>IF(V196&lt;&gt;"Available","",(L196*'Sources &amp; Model'!$B$13+M196*'Sources &amp; Model'!$B$14+N196*'Sources &amp; Model'!$B$15+O196*'Sources &amp; Model'!$B$16+P196*'Sources &amp; Model'!$B$17+Q196*'Sources &amp; Model'!$B$18+R196*'Sources &amp; Model'!$B$19+S196*'Sources &amp; Model'!$B$20+T196*'Sources &amp; Model'!$B$21)/SUM('Sources &amp; Model'!$B$13:$B$21))</x:f>
        <x:v>28.228676165528086</x:v>
      </x:c>
      <x:c r="V196" s="5" t="str">
        <x:v>Available</x:v>
      </x:c>
      <x:c r="W196" t="str">
        <x:v>https://help.fantasyfootballcalculator.com/article/42-adp-rest-api</x:v>
      </x:c>
    </x:row>
    <x:row r="197">
      <x:c r="A197" s="28" t="n">
        <x:v>193</x:v>
      </x:c>
      <x:c r="B197" s="28" t="str">
        <x:v>Juwan Johnson</x:v>
      </x:c>
      <x:c r="C197" s="28" t="str">
        <x:v>TE</x:v>
      </x:c>
      <x:c r="D197" s="28" t="str">
        <x:v>NO</x:v>
      </x:c>
      <x:c r="E197" s="81" t="n">
        <x:v>8</x:v>
      </x:c>
      <x:c r="F197" s="82" t="n">
        <x:v>158.8</x:v>
      </x:c>
      <x:c r="G197" s="82" t="n">
        <x:v>107</x:v>
      </x:c>
      <x:c r="H197" s="82" t="n">
        <x:v>200</x:v>
      </x:c>
      <x:c r="I197" s="82" t="n">
        <x:v>19.6</x:v>
      </x:c>
      <x:c r="J197" s="81" t="n">
        <x:v>51</x:v>
      </x:c>
      <x:c r="K197" s="81" t="n">
        <x:v>6</x:v>
      </x:c>
      <x:c r="L197" s="83" t="n">
        <x:f>MAX(0,MIN(100,100-((F197-1)/(MAX($F$5:$F$265)-1))*100))</x:f>
        <x:v>16.64025356576863</x:v>
      </x:c>
      <x:c r="M197" s="83" t="n">
        <x:f>MAX(0,MIN(100,50+(('Sources &amp; Model'!$B$4-F197)/('Sources &amp; Model'!$B$6*2.5))*45))</x:f>
        <x:v>0</x:v>
      </x:c>
      <x:c r="N197" s="83" t="n">
        <x:f>IF(V197="Mine",0,IF(OR(C197="RB",C197="WR"),MAX(30,62-COUNTIFS($C$5:$C$265,C197,$V$5:$V$265,"Mine")*5),IF(OR(C197="D/ST",C197="K"),IF('Sources &amp; Model'!$B$4&gt;='Sources &amp; Model'!$B$6*('Sources &amp; Model'!$B$8-2),62,12),IF(COUNTIFS($C$5:$C$265,C197,$V$5:$V$265,"Mine")=0,82,38))))</x:f>
        <x:v>82</x:v>
      </x:c>
      <x:c r="O197" s="65" t="n">
        <x:v>61.8</x:v>
      </x:c>
      <x:c r="P197" s="83" t="n">
        <x:f>MAX(0,MIN(100,100/(1+EXP(-(('Sources &amp; Model'!$B$5-F197)/MAX(2.5,I197))))))</x:f>
        <x:v>0.03186748882904423</x:v>
      </x:c>
      <x:c r="Q197" s="65" t="n">
        <x:v>90</x:v>
      </x:c>
      <x:c r="R197" s="65" t="n">
        <x:v>92</x:v>
      </x:c>
      <x:c r="S197" s="65" t="n">
        <x:v>47.2</x:v>
      </x:c>
      <x:c r="T197" s="65" t="n">
        <x:v>49.7</x:v>
      </x:c>
      <x:c r="U197" s="84" t="n">
        <x:f>IF(V197&lt;&gt;"Available","",(L197*'Sources &amp; Model'!$B$13+M197*'Sources &amp; Model'!$B$14+N197*'Sources &amp; Model'!$B$15+O197*'Sources &amp; Model'!$B$16+P197*'Sources &amp; Model'!$B$17+Q197*'Sources &amp; Model'!$B$18+R197*'Sources &amp; Model'!$B$19+S197*'Sources &amp; Model'!$B$20+T197*'Sources &amp; Model'!$B$21)/SUM('Sources &amp; Model'!$B$13:$B$21))</x:f>
        <x:v>35.89787296124424</x:v>
      </x:c>
      <x:c r="V197" s="5" t="str">
        <x:v>Available</x:v>
      </x:c>
      <x:c r="W197" t="str">
        <x:v>https://help.fantasyfootballcalculator.com/article/42-adp-rest-api</x:v>
      </x:c>
    </x:row>
    <x:row r="198">
      <x:c r="A198" s="28" t="n">
        <x:v>194</x:v>
      </x:c>
      <x:c r="B198" s="28" t="str">
        <x:v>Tyler Loop</x:v>
      </x:c>
      <x:c r="C198" s="28" t="str">
        <x:v>K</x:v>
      </x:c>
      <x:c r="D198" s="28" t="str">
        <x:v>BAL</x:v>
      </x:c>
      <x:c r="E198" s="81" t="n">
        <x:v>13</x:v>
      </x:c>
      <x:c r="F198" s="82" t="n">
        <x:v>158.9</x:v>
      </x:c>
      <x:c r="G198" s="82" t="n">
        <x:v>116</x:v>
      </x:c>
      <x:c r="H198" s="82" t="n">
        <x:v>194</x:v>
      </x:c>
      <x:c r="I198" s="82" t="n">
        <x:v>16.5</x:v>
      </x:c>
      <x:c r="J198" s="81" t="n">
        <x:v>115</x:v>
      </x:c>
      <x:c r="K198" s="81" t="n">
        <x:v>4</x:v>
      </x:c>
      <x:c r="L198" s="83" t="n">
        <x:f>MAX(0,MIN(100,100-((F198-1)/(MAX($F$5:$F$265)-1))*100))</x:f>
        <x:v>16.587427363972523</x:v>
      </x:c>
      <x:c r="M198" s="83" t="n">
        <x:f>MAX(0,MIN(100,50+(('Sources &amp; Model'!$B$4-F198)/('Sources &amp; Model'!$B$6*2.5))*45))</x:f>
        <x:v>0</x:v>
      </x:c>
      <x:c r="N198" s="83" t="n">
        <x:f>IF(V198="Mine",0,IF(OR(C198="RB",C198="WR"),MAX(30,62-COUNTIFS($C$5:$C$265,C198,$V$5:$V$265,"Mine")*5),IF(OR(C198="D/ST",C198="K"),IF('Sources &amp; Model'!$B$4&gt;='Sources &amp; Model'!$B$6*('Sources &amp; Model'!$B$8-2),62,12),IF(COUNTIFS($C$5:$C$265,C198,$V$5:$V$265,"Mine")=0,82,38))))</x:f>
        <x:v>12</x:v>
      </x:c>
      <x:c r="O198" s="65" t="n">
        <x:v>43.1</x:v>
      </x:c>
      <x:c r="P198" s="83" t="n">
        <x:f>MAX(0,MIN(100,100/(1+EXP(-(('Sources &amp; Model'!$B$5-F198)/MAX(2.5,I198))))))</x:f>
        <x:v>0.00698076622548528</x:v>
      </x:c>
      <x:c r="Q198" s="65" t="n">
        <x:v>68</x:v>
      </x:c>
      <x:c r="R198" s="65" t="n">
        <x:v>92</x:v>
      </x:c>
      <x:c r="S198" s="65" t="n">
        <x:v>31.7</x:v>
      </x:c>
      <x:c r="T198" s="65" t="n">
        <x:v>50</x:v>
      </x:c>
      <x:c r="U198" s="84" t="n">
        <x:f>IF(V198&lt;&gt;"Available","",(L198*'Sources &amp; Model'!$B$13+M198*'Sources &amp; Model'!$B$14+N198*'Sources &amp; Model'!$B$15+O198*'Sources &amp; Model'!$B$16+P198*'Sources &amp; Model'!$B$17+Q198*'Sources &amp; Model'!$B$18+R198*'Sources &amp; Model'!$B$19+S198*'Sources &amp; Model'!$B$20+T198*'Sources &amp; Model'!$B$21)/SUM('Sources &amp; Model'!$B$13:$B$21))</x:f>
        <x:v>21.506423380373207</x:v>
      </x:c>
      <x:c r="V198" s="5" t="str">
        <x:v>Available</x:v>
      </x:c>
      <x:c r="W198" t="str">
        <x:v>https://help.fantasyfootballcalculator.com/article/42-adp-rest-api</x:v>
      </x:c>
    </x:row>
    <x:row r="199">
      <x:c r="A199" s="28" t="n">
        <x:v>195</x:v>
      </x:c>
      <x:c r="B199" s="28" t="str">
        <x:v>Eddy Pineiro</x:v>
      </x:c>
      <x:c r="C199" s="28" t="str">
        <x:v>K</x:v>
      </x:c>
      <x:c r="D199" s="28" t="str">
        <x:v>SF</x:v>
      </x:c>
      <x:c r="E199" s="81" t="n">
        <x:v>8</x:v>
      </x:c>
      <x:c r="F199" s="82" t="n">
        <x:v>159.1</x:v>
      </x:c>
      <x:c r="G199" s="82" t="n">
        <x:v>134</x:v>
      </x:c>
      <x:c r="H199" s="82" t="n">
        <x:v>201</x:v>
      </x:c>
      <x:c r="I199" s="82" t="n">
        <x:v>15</x:v>
      </x:c>
      <x:c r="J199" s="81" t="n">
        <x:v>64</x:v>
      </x:c>
      <x:c r="K199" s="81" t="n">
        <x:v>4</x:v>
      </x:c>
      <x:c r="L199" s="83" t="n">
        <x:f>MAX(0,MIN(100,100-((F199-1)/(MAX($F$5:$F$265)-1))*100))</x:f>
        <x:v>16.481774960380363</x:v>
      </x:c>
      <x:c r="M199" s="83" t="n">
        <x:f>MAX(0,MIN(100,50+(('Sources &amp; Model'!$B$4-F199)/('Sources &amp; Model'!$B$6*2.5))*45))</x:f>
        <x:v>0</x:v>
      </x:c>
      <x:c r="N199" s="83" t="n">
        <x:f>IF(V199="Mine",0,IF(OR(C199="RB",C199="WR"),MAX(30,62-COUNTIFS($C$5:$C$265,C199,$V$5:$V$265,"Mine")*5),IF(OR(C199="D/ST",C199="K"),IF('Sources &amp; Model'!$B$4&gt;='Sources &amp; Model'!$B$6*('Sources &amp; Model'!$B$8-2),62,12),IF(COUNTIFS($C$5:$C$265,C199,$V$5:$V$265,"Mine")=0,82,38))))</x:f>
        <x:v>12</x:v>
      </x:c>
      <x:c r="O199" s="65" t="n">
        <x:v>48.6</x:v>
      </x:c>
      <x:c r="P199" s="83" t="n">
        <x:f>MAX(0,MIN(100,100/(1+EXP(-(('Sources &amp; Model'!$B$5-F199)/MAX(2.5,I199))))))</x:f>
        <x:v>0.002645602978696023</x:v>
      </x:c>
      <x:c r="Q199" s="65" t="n">
        <x:v>68</x:v>
      </x:c>
      <x:c r="R199" s="65" t="n">
        <x:v>92</x:v>
      </x:c>
      <x:c r="S199" s="65" t="n">
        <x:v>39.3</x:v>
      </x:c>
      <x:c r="T199" s="65" t="n">
        <x:v>50</x:v>
      </x:c>
      <x:c r="U199" s="84" t="n">
        <x:f>IF(V199&lt;&gt;"Available","",(L199*'Sources &amp; Model'!$B$13+M199*'Sources &amp; Model'!$B$14+N199*'Sources &amp; Model'!$B$15+O199*'Sources &amp; Model'!$B$16+P199*'Sources &amp; Model'!$B$17+Q199*'Sources &amp; Model'!$B$18+R199*'Sources &amp; Model'!$B$19+S199*'Sources &amp; Model'!$B$20+T199*'Sources &amp; Model'!$B$21)/SUM('Sources &amp; Model'!$B$13:$B$21))</x:f>
        <x:v>22.282068046827195</x:v>
      </x:c>
      <x:c r="V199" s="5" t="str">
        <x:v>Available</x:v>
      </x:c>
      <x:c r="W199" t="str">
        <x:v>https://help.fantasyfootballcalculator.com/article/42-adp-rest-api</x:v>
      </x:c>
    </x:row>
    <x:row r="200">
      <x:c r="A200" s="28" t="n">
        <x:v>196</x:v>
      </x:c>
      <x:c r="B200" s="28" t="str">
        <x:v>Ray Davis</x:v>
      </x:c>
      <x:c r="C200" s="28" t="str">
        <x:v>RB</x:v>
      </x:c>
      <x:c r="D200" s="28" t="str">
        <x:v>BUF</x:v>
      </x:c>
      <x:c r="E200" s="81" t="n">
        <x:v>7</x:v>
      </x:c>
      <x:c r="F200" s="82" t="n">
        <x:v>160</x:v>
      </x:c>
      <x:c r="G200" s="82" t="n">
        <x:v>106</x:v>
      </x:c>
      <x:c r="H200" s="82" t="n">
        <x:v>207</x:v>
      </x:c>
      <x:c r="I200" s="82" t="n">
        <x:v>25.5</x:v>
      </x:c>
      <x:c r="J200" s="81" t="n">
        <x:v>14</x:v>
      </x:c>
      <x:c r="K200" s="81" t="n">
        <x:v>10</x:v>
      </x:c>
      <x:c r="L200" s="83" t="n">
        <x:f>MAX(0,MIN(100,100-((F200-1)/(MAX($F$5:$F$265)-1))*100))</x:f>
        <x:v>16.00633914421553</x:v>
      </x:c>
      <x:c r="M200" s="83" t="n">
        <x:f>MAX(0,MIN(100,50+(('Sources &amp; Model'!$B$4-F200)/('Sources &amp; Model'!$B$6*2.5))*45))</x:f>
        <x:v>0</x:v>
      </x:c>
      <x:c r="N200" s="83" t="n">
        <x:f>IF(V200="Mine",0,IF(OR(C200="RB",C200="WR"),MAX(30,62-COUNTIFS($C$5:$C$265,C200,$V$5:$V$265,"Mine")*5),IF(OR(C200="D/ST",C200="K"),IF('Sources &amp; Model'!$B$4&gt;='Sources &amp; Model'!$B$6*('Sources &amp; Model'!$B$8-2),62,12),IF(COUNTIFS($C$5:$C$265,C200,$V$5:$V$265,"Mine")=0,82,38))))</x:f>
        <x:v>62</x:v>
      </x:c>
      <x:c r="O200" s="65" t="n">
        <x:v>43.7</x:v>
      </x:c>
      <x:c r="P200" s="83" t="n">
        <x:f>MAX(0,MIN(100,100/(1+EXP(-(('Sources &amp; Model'!$B$5-F200)/MAX(2.5,I200))))))</x:f>
        <x:v>0.19552225530571973</x:v>
      </x:c>
      <x:c r="Q200" s="65" t="n">
        <x:v>50</x:v>
      </x:c>
      <x:c r="R200" s="65" t="n">
        <x:v>92</x:v>
      </x:c>
      <x:c r="S200" s="65" t="n">
        <x:v>30.8</x:v>
      </x:c>
      <x:c r="T200" s="65" t="n">
        <x:v>49.9</x:v>
      </x:c>
      <x:c r="U200" s="84" t="n">
        <x:f>IF(V200&lt;&gt;"Available","",(L200*'Sources &amp; Model'!$B$13+M200*'Sources &amp; Model'!$B$14+N200*'Sources &amp; Model'!$B$15+O200*'Sources &amp; Model'!$B$16+P200*'Sources &amp; Model'!$B$17+Q200*'Sources &amp; Model'!$B$18+R200*'Sources &amp; Model'!$B$19+S200*'Sources &amp; Model'!$B$20+T200*'Sources &amp; Model'!$B$21)/SUM('Sources &amp; Model'!$B$13:$B$21))</x:f>
        <x:v>27.800707534563852</x:v>
      </x:c>
      <x:c r="V200" s="5" t="str">
        <x:v>Available</x:v>
      </x:c>
      <x:c r="W200" t="str">
        <x:v>https://help.fantasyfootballcalculator.com/article/42-adp-rest-api</x:v>
      </x:c>
    </x:row>
    <x:row r="201">
      <x:c r="A201" s="28" t="n">
        <x:v>197</x:v>
      </x:c>
      <x:c r="B201" s="28" t="str">
        <x:v>BUF Defense</x:v>
      </x:c>
      <x:c r="C201" s="28" t="str">
        <x:v>D/ST</x:v>
      </x:c>
      <x:c r="D201" s="28" t="str">
        <x:v>BUF</x:v>
      </x:c>
      <x:c r="E201" s="81" t="n">
        <x:v>7</x:v>
      </x:c>
      <x:c r="F201" s="82" t="n">
        <x:v>160.3</x:v>
      </x:c>
      <x:c r="G201" s="82" t="n">
        <x:v>118</x:v>
      </x:c>
      <x:c r="H201" s="82" t="n">
        <x:v>210</x:v>
      </x:c>
      <x:c r="I201" s="82" t="n">
        <x:v>16.1</x:v>
      </x:c>
      <x:c r="J201" s="81" t="n">
        <x:v>406</x:v>
      </x:c>
      <x:c r="K201" s="81" t="n">
        <x:v>4</x:v>
      </x:c>
      <x:c r="L201" s="83" t="n">
        <x:f>MAX(0,MIN(100,100-((F201-1)/(MAX($F$5:$F$265)-1))*100))</x:f>
        <x:v>15.847860538827248</x:v>
      </x:c>
      <x:c r="M201" s="83" t="n">
        <x:f>MAX(0,MIN(100,50+(('Sources &amp; Model'!$B$4-F201)/('Sources &amp; Model'!$B$6*2.5))*45))</x:f>
        <x:v>0</x:v>
      </x:c>
      <x:c r="N201" s="83" t="n">
        <x:f>IF(V201="Mine",0,IF(OR(C201="RB",C201="WR"),MAX(30,62-COUNTIFS($C$5:$C$265,C201,$V$5:$V$265,"Mine")*5),IF(OR(C201="D/ST",C201="K"),IF('Sources &amp; Model'!$B$4&gt;='Sources &amp; Model'!$B$6*('Sources &amp; Model'!$B$8-2),62,12),IF(COUNTIFS($C$5:$C$265,C201,$V$5:$V$265,"Mine")=0,82,38))))</x:f>
        <x:v>12</x:v>
      </x:c>
      <x:c r="O201" s="65" t="n">
        <x:v>42.5</x:v>
      </x:c>
      <x:c r="P201" s="83" t="n">
        <x:f>MAX(0,MIN(100,100/(1+EXP(-(('Sources &amp; Model'!$B$5-F201)/MAX(2.5,I201))))))</x:f>
        <x:v>0.005045340138314091</x:v>
      </x:c>
      <x:c r="Q201" s="65" t="n">
        <x:v>68</x:v>
      </x:c>
      <x:c r="R201" s="65" t="n">
        <x:v>92</x:v>
      </x:c>
      <x:c r="S201" s="65" t="n">
        <x:v>30.8</x:v>
      </x:c>
      <x:c r="T201" s="65" t="n">
        <x:v>50</x:v>
      </x:c>
      <x:c r="U201" s="84" t="n">
        <x:f>IF(V201&lt;&gt;"Available","",(L201*'Sources &amp; Model'!$B$13+M201*'Sources &amp; Model'!$B$14+N201*'Sources &amp; Model'!$B$15+O201*'Sources &amp; Model'!$B$16+P201*'Sources &amp; Model'!$B$17+Q201*'Sources &amp; Model'!$B$18+R201*'Sources &amp; Model'!$B$19+S201*'Sources &amp; Model'!$B$20+T201*'Sources &amp; Model'!$B$21)/SUM('Sources &amp; Model'!$B$13:$B$21))</x:f>
        <x:v>21.164777117215095</x:v>
      </x:c>
      <x:c r="V201" s="5" t="str">
        <x:v>Available</x:v>
      </x:c>
      <x:c r="W201" t="str">
        <x:v>https://help.fantasyfootballcalculator.com/article/42-adp-rest-api</x:v>
      </x:c>
    </x:row>
    <x:row r="202">
      <x:c r="A202" s="28" t="n">
        <x:v>198</x:v>
      </x:c>
      <x:c r="B202" s="28" t="str">
        <x:v>Cairo Santos</x:v>
      </x:c>
      <x:c r="C202" s="28" t="str">
        <x:v>K</x:v>
      </x:c>
      <x:c r="D202" s="28" t="str">
        <x:v>CHI</x:v>
      </x:c>
      <x:c r="E202" s="81" t="n">
        <x:v>10</x:v>
      </x:c>
      <x:c r="F202" s="82" t="n">
        <x:v>160.3</x:v>
      </x:c>
      <x:c r="G202" s="82" t="n">
        <x:v>120</x:v>
      </x:c>
      <x:c r="H202" s="82" t="n">
        <x:v>202</x:v>
      </x:c>
      <x:c r="I202" s="82" t="n">
        <x:v>15.5</x:v>
      </x:c>
      <x:c r="J202" s="81" t="n">
        <x:v>58</x:v>
      </x:c>
      <x:c r="K202" s="81" t="n">
        <x:v>4</x:v>
      </x:c>
      <x:c r="L202" s="83" t="n">
        <x:f>MAX(0,MIN(100,100-((F202-1)/(MAX($F$5:$F$265)-1))*100))</x:f>
        <x:v>15.847860538827248</x:v>
      </x:c>
      <x:c r="M202" s="83" t="n">
        <x:f>MAX(0,MIN(100,50+(('Sources &amp; Model'!$B$4-F202)/('Sources &amp; Model'!$B$6*2.5))*45))</x:f>
        <x:v>0</x:v>
      </x:c>
      <x:c r="N202" s="83" t="n">
        <x:f>IF(V202="Mine",0,IF(OR(C202="RB",C202="WR"),MAX(30,62-COUNTIFS($C$5:$C$265,C202,$V$5:$V$265,"Mine")*5),IF(OR(C202="D/ST",C202="K"),IF('Sources &amp; Model'!$B$4&gt;='Sources &amp; Model'!$B$6*('Sources &amp; Model'!$B$8-2),62,12),IF(COUNTIFS($C$5:$C$265,C202,$V$5:$V$265,"Mine")=0,82,38))))</x:f>
        <x:v>12</x:v>
      </x:c>
      <x:c r="O202" s="65" t="n">
        <x:v>48</x:v>
      </x:c>
      <x:c r="P202" s="83" t="n">
        <x:f>MAX(0,MIN(100,100/(1+EXP(-(('Sources &amp; Model'!$B$5-F202)/MAX(2.5,I202))))))</x:f>
        <x:v>0.003440000819223458</x:v>
      </x:c>
      <x:c r="Q202" s="65" t="n">
        <x:v>68</x:v>
      </x:c>
      <x:c r="R202" s="65" t="n">
        <x:v>92</x:v>
      </x:c>
      <x:c r="S202" s="65" t="n">
        <x:v>29.9</x:v>
      </x:c>
      <x:c r="T202" s="65" t="n">
        <x:v>50</x:v>
      </x:c>
      <x:c r="U202" s="84" t="n">
        <x:f>IF(V202&lt;&gt;"Available","",(L202*'Sources &amp; Model'!$B$13+M202*'Sources &amp; Model'!$B$14+N202*'Sources &amp; Model'!$B$15+O202*'Sources &amp; Model'!$B$16+P202*'Sources &amp; Model'!$B$17+Q202*'Sources &amp; Model'!$B$18+R202*'Sources &amp; Model'!$B$19+S202*'Sources &amp; Model'!$B$20+T202*'Sources &amp; Model'!$B$21)/SUM('Sources &amp; Model'!$B$13:$B$21))</x:f>
        <x:v>21.80661658328319</x:v>
      </x:c>
      <x:c r="V202" s="5" t="str">
        <x:v>Available</x:v>
      </x:c>
      <x:c r="W202" t="str">
        <x:v>https://help.fantasyfootballcalculator.com/article/42-adp-rest-api</x:v>
      </x:c>
    </x:row>
    <x:row r="203">
      <x:c r="A203" s="28" t="n">
        <x:v>199</x:v>
      </x:c>
      <x:c r="B203" s="28" t="str">
        <x:v>Keaton Mitchell</x:v>
      </x:c>
      <x:c r="C203" s="28" t="str">
        <x:v>RB</x:v>
      </x:c>
      <x:c r="D203" s="28" t="str">
        <x:v>LAC</x:v>
      </x:c>
      <x:c r="E203" s="81" t="n">
        <x:v>7</x:v>
      </x:c>
      <x:c r="F203" s="82" t="n">
        <x:v>160.3</x:v>
      </x:c>
      <x:c r="G203" s="82" t="n">
        <x:v>82</x:v>
      </x:c>
      <x:c r="H203" s="82" t="n">
        <x:v>209</x:v>
      </x:c>
      <x:c r="I203" s="82" t="n">
        <x:v>29.7</x:v>
      </x:c>
      <x:c r="J203" s="81" t="n">
        <x:v>65</x:v>
      </x:c>
      <x:c r="K203" s="81" t="n">
        <x:v>10</x:v>
      </x:c>
      <x:c r="L203" s="83" t="n">
        <x:f>MAX(0,MIN(100,100-((F203-1)/(MAX($F$5:$F$265)-1))*100))</x:f>
        <x:v>15.847860538827248</x:v>
      </x:c>
      <x:c r="M203" s="83" t="n">
        <x:f>MAX(0,MIN(100,50+(('Sources &amp; Model'!$B$4-F203)/('Sources &amp; Model'!$B$6*2.5))*45))</x:f>
        <x:v>0</x:v>
      </x:c>
      <x:c r="N203" s="83" t="n">
        <x:f>IF(V203="Mine",0,IF(OR(C203="RB",C203="WR"),MAX(30,62-COUNTIFS($C$5:$C$265,C203,$V$5:$V$265,"Mine")*5),IF(OR(C203="D/ST",C203="K"),IF('Sources &amp; Model'!$B$4&gt;='Sources &amp; Model'!$B$6*('Sources &amp; Model'!$B$8-2),62,12),IF(COUNTIFS($C$5:$C$265,C203,$V$5:$V$265,"Mine")=0,82,38))))</x:f>
        <x:v>62</x:v>
      </x:c>
      <x:c r="O203" s="65" t="n">
        <x:v>50.3</x:v>
      </x:c>
      <x:c r="P203" s="83" t="n">
        <x:f>MAX(0,MIN(100,100/(1+EXP(-(('Sources &amp; Model'!$B$5-F203)/MAX(2.5,I203))))))</x:f>
        <x:v>0.4662006838441924</x:v>
      </x:c>
      <x:c r="Q203" s="65" t="n">
        <x:v>68</x:v>
      </x:c>
      <x:c r="R203" s="65" t="n">
        <x:v>92</x:v>
      </x:c>
      <x:c r="S203" s="65" t="n">
        <x:v>54.4</x:v>
      </x:c>
      <x:c r="T203" s="65" t="n">
        <x:v>50</x:v>
      </x:c>
      <x:c r="U203" s="84" t="n">
        <x:f>IF(V203&lt;&gt;"Available","",(L203*'Sources &amp; Model'!$B$13+M203*'Sources &amp; Model'!$B$14+N203*'Sources &amp; Model'!$B$15+O203*'Sources &amp; Model'!$B$16+P203*'Sources &amp; Model'!$B$17+Q203*'Sources &amp; Model'!$B$18+R203*'Sources &amp; Model'!$B$19+S203*'Sources &amp; Model'!$B$20+T203*'Sources &amp; Model'!$B$21)/SUM('Sources &amp; Model'!$B$13:$B$21))</x:f>
        <x:v>30.118892651585682</x:v>
      </x:c>
      <x:c r="V203" s="5" t="str">
        <x:v>Available</x:v>
      </x:c>
      <x:c r="W203" t="str">
        <x:v>https://help.fantasyfootballcalculator.com/article/42-adp-rest-api</x:v>
      </x:c>
    </x:row>
    <x:row r="204">
      <x:c r="A204" s="28" t="n">
        <x:v>200</x:v>
      </x:c>
      <x:c r="B204" s="28" t="str">
        <x:v>GB Defense</x:v>
      </x:c>
      <x:c r="C204" s="28" t="str">
        <x:v>D/ST</x:v>
      </x:c>
      <x:c r="D204" s="28" t="str">
        <x:v>GB</x:v>
      </x:c>
      <x:c r="E204" s="81" t="n">
        <x:v>11</x:v>
      </x:c>
      <x:c r="F204" s="82" t="n">
        <x:v>160.4</x:v>
      </x:c>
      <x:c r="G204" s="82" t="n">
        <x:v>131</x:v>
      </x:c>
      <x:c r="H204" s="82" t="n">
        <x:v>179</x:v>
      </x:c>
      <x:c r="I204" s="82" t="n">
        <x:v>12.6</x:v>
      </x:c>
      <x:c r="J204" s="81" t="n">
        <x:v>13</x:v>
      </x:c>
      <x:c r="K204" s="81" t="n">
        <x:v>4</x:v>
      </x:c>
      <x:c r="L204" s="83" t="n">
        <x:f>MAX(0,MIN(100,100-((F204-1)/(MAX($F$5:$F$265)-1))*100))</x:f>
        <x:v>15.795034337031169</x:v>
      </x:c>
      <x:c r="M204" s="83" t="n">
        <x:f>MAX(0,MIN(100,50+(('Sources &amp; Model'!$B$4-F204)/('Sources &amp; Model'!$B$6*2.5))*45))</x:f>
        <x:v>0</x:v>
      </x:c>
      <x:c r="N204" s="83" t="n">
        <x:f>IF(V204="Mine",0,IF(OR(C204="RB",C204="WR"),MAX(30,62-COUNTIFS($C$5:$C$265,C204,$V$5:$V$265,"Mine")*5),IF(OR(C204="D/ST",C204="K"),IF('Sources &amp; Model'!$B$4&gt;='Sources &amp; Model'!$B$6*('Sources &amp; Model'!$B$8-2),62,12),IF(COUNTIFS($C$5:$C$265,C204,$V$5:$V$265,"Mine")=0,82,38))))</x:f>
        <x:v>12</x:v>
      </x:c>
      <x:c r="O204" s="65" t="n">
        <x:v>43.1</x:v>
      </x:c>
      <x:c r="P204" s="83" t="n">
        <x:f>MAX(0,MIN(100,100/(1+EXP(-(('Sources &amp; Model'!$B$5-F204)/MAX(2.5,I204))))))</x:f>
        <x:v>0.00032050051657836996</x:v>
      </x:c>
      <x:c r="Q204" s="65" t="n">
        <x:v>68</x:v>
      </x:c>
      <x:c r="R204" s="65" t="n">
        <x:v>92</x:v>
      </x:c>
      <x:c r="S204" s="65" t="n">
        <x:v>41.8</x:v>
      </x:c>
      <x:c r="T204" s="65" t="n">
        <x:v>50</x:v>
      </x:c>
      <x:c r="U204" s="84" t="n">
        <x:f>IF(V204&lt;&gt;"Available","",(L204*'Sources &amp; Model'!$B$13+M204*'Sources &amp; Model'!$B$14+N204*'Sources &amp; Model'!$B$15+O204*'Sources &amp; Model'!$B$16+P204*'Sources &amp; Model'!$B$17+Q204*'Sources &amp; Model'!$B$18+R204*'Sources &amp; Model'!$B$19+S204*'Sources &amp; Model'!$B$20+T204*'Sources &amp; Model'!$B$21)/SUM('Sources &amp; Model'!$B$13:$B$21))</x:f>
        <x:v>21.438343724642255</x:v>
      </x:c>
      <x:c r="V204" s="5" t="str">
        <x:v>Available</x:v>
      </x:c>
      <x:c r="W204" t="str">
        <x:v>https://help.fantasyfootballcalculator.com/article/42-adp-rest-api</x:v>
      </x:c>
    </x:row>
    <x:row r="205">
      <x:c r="A205" s="28" t="n">
        <x:v>201</x:v>
      </x:c>
      <x:c r="B205" s="28" t="str">
        <x:v>Adonai Mitchell</x:v>
      </x:c>
      <x:c r="C205" s="28" t="str">
        <x:v>WR</x:v>
      </x:c>
      <x:c r="D205" s="28" t="str">
        <x:v>NYJ</x:v>
      </x:c>
      <x:c r="E205" s="81" t="n">
        <x:v>13</x:v>
      </x:c>
      <x:c r="F205" s="82" t="n">
        <x:v>160.5</x:v>
      </x:c>
      <x:c r="G205" s="82" t="n">
        <x:v>113</x:v>
      </x:c>
      <x:c r="H205" s="82" t="n">
        <x:v>180</x:v>
      </x:c>
      <x:c r="I205" s="82" t="n">
        <x:v>18</x:v>
      </x:c>
      <x:c r="J205" s="81" t="n">
        <x:v>46</x:v>
      </x:c>
      <x:c r="K205" s="81" t="n">
        <x:v>10</x:v>
      </x:c>
      <x:c r="L205" s="83" t="n">
        <x:f>MAX(0,MIN(100,100-((F205-1)/(MAX($F$5:$F$265)-1))*100))</x:f>
        <x:v>15.742208135235074</x:v>
      </x:c>
      <x:c r="M205" s="83" t="n">
        <x:f>MAX(0,MIN(100,50+(('Sources &amp; Model'!$B$4-F205)/('Sources &amp; Model'!$B$6*2.5))*45))</x:f>
        <x:v>0</x:v>
      </x:c>
      <x:c r="N205" s="83" t="n">
        <x:f>IF(V205="Mine",0,IF(OR(C205="RB",C205="WR"),MAX(30,62-COUNTIFS($C$5:$C$265,C205,$V$5:$V$265,"Mine")*5),IF(OR(C205="D/ST",C205="K"),IF('Sources &amp; Model'!$B$4&gt;='Sources &amp; Model'!$B$6*('Sources &amp; Model'!$B$8-2),62,12),IF(COUNTIFS($C$5:$C$265,C205,$V$5:$V$265,"Mine")=0,82,38))))</x:f>
        <x:v>62</x:v>
      </x:c>
      <x:c r="O205" s="65" t="n">
        <x:v>43.7</x:v>
      </x:c>
      <x:c r="P205" s="83" t="n">
        <x:f>MAX(0,MIN(100,100/(1+EXP(-(('Sources &amp; Model'!$B$5-F205)/MAX(2.5,I205))))))</x:f>
        <x:v>0.01417773202492987</x:v>
      </x:c>
      <x:c r="Q205" s="65" t="n">
        <x:v>68</x:v>
      </x:c>
      <x:c r="R205" s="65" t="n">
        <x:v>92</x:v>
      </x:c>
      <x:c r="S205" s="65" t="n">
        <x:v>50.9</x:v>
      </x:c>
      <x:c r="T205" s="65" t="n">
        <x:v>50.3</x:v>
      </x:c>
      <x:c r="U205" s="84" t="n">
        <x:f>IF(V205&lt;&gt;"Available","",(L205*'Sources &amp; Model'!$B$13+M205*'Sources &amp; Model'!$B$14+N205*'Sources &amp; Model'!$B$15+O205*'Sources &amp; Model'!$B$16+P205*'Sources &amp; Model'!$B$17+Q205*'Sources &amp; Model'!$B$18+R205*'Sources &amp; Model'!$B$19+S205*'Sources &amp; Model'!$B$20+T205*'Sources &amp; Model'!$B$21)/SUM('Sources &amp; Model'!$B$13:$B$21))</x:f>
        <x:v>29.17876853918242</x:v>
      </x:c>
      <x:c r="V205" s="5" t="str">
        <x:v>Available</x:v>
      </x:c>
      <x:c r="W205" t="str">
        <x:v>https://help.fantasyfootballcalculator.com/article/42-adp-rest-api</x:v>
      </x:c>
    </x:row>
    <x:row r="206">
      <x:c r="A206" s="28" t="n">
        <x:v>202</x:v>
      </x:c>
      <x:c r="B206" s="28" t="str">
        <x:v>TEN Defense</x:v>
      </x:c>
      <x:c r="C206" s="28" t="str">
        <x:v>D/ST</x:v>
      </x:c>
      <x:c r="D206" s="28" t="str">
        <x:v>TEN</x:v>
      </x:c>
      <x:c r="E206" s="81" t="n">
        <x:v>9</x:v>
      </x:c>
      <x:c r="F206" s="82" t="n">
        <x:v>160.6</x:v>
      </x:c>
      <x:c r="G206" s="82" t="n">
        <x:v>115</x:v>
      </x:c>
      <x:c r="H206" s="82" t="n">
        <x:v>209</x:v>
      </x:c>
      <x:c r="I206" s="82" t="n">
        <x:v>17.4</x:v>
      </x:c>
      <x:c r="J206" s="81" t="n">
        <x:v>89</x:v>
      </x:c>
      <x:c r="K206" s="81" t="n">
        <x:v>4</x:v>
      </x:c>
      <x:c r="L206" s="83" t="n">
        <x:f>MAX(0,MIN(100,100-((F206-1)/(MAX($F$5:$F$265)-1))*100))</x:f>
        <x:v>15.689381933438995</x:v>
      </x:c>
      <x:c r="M206" s="83" t="n">
        <x:f>MAX(0,MIN(100,50+(('Sources &amp; Model'!$B$4-F206)/('Sources &amp; Model'!$B$6*2.5))*45))</x:f>
        <x:v>0</x:v>
      </x:c>
      <x:c r="N206" s="83" t="n">
        <x:f>IF(V206="Mine",0,IF(OR(C206="RB",C206="WR"),MAX(30,62-COUNTIFS($C$5:$C$265,C206,$V$5:$V$265,"Mine")*5),IF(OR(C206="D/ST",C206="K"),IF('Sources &amp; Model'!$B$4&gt;='Sources &amp; Model'!$B$6*('Sources &amp; Model'!$B$8-2),62,12),IF(COUNTIFS($C$5:$C$265,C206,$V$5:$V$265,"Mine")=0,82,38))))</x:f>
        <x:v>12</x:v>
      </x:c>
      <x:c r="O206" s="65" t="n">
        <x:v>47</x:v>
      </x:c>
      <x:c r="P206" s="83" t="n">
        <x:f>MAX(0,MIN(100,100/(1+EXP(-(('Sources &amp; Model'!$B$5-F206)/MAX(2.5,I206))))))</x:f>
        <x:v>0.010385471016491496</x:v>
      </x:c>
      <x:c r="Q206" s="65" t="n">
        <x:v>68</x:v>
      </x:c>
      <x:c r="R206" s="65" t="n">
        <x:v>92</x:v>
      </x:c>
      <x:c r="S206" s="65" t="n">
        <x:v>50.9</x:v>
      </x:c>
      <x:c r="T206" s="65" t="n">
        <x:v>50</x:v>
      </x:c>
      <x:c r="U206" s="84" t="n">
        <x:f>IF(V206&lt;&gt;"Available","",(L206*'Sources &amp; Model'!$B$13+M206*'Sources &amp; Model'!$B$14+N206*'Sources &amp; Model'!$B$15+O206*'Sources &amp; Model'!$B$16+P206*'Sources &amp; Model'!$B$17+Q206*'Sources &amp; Model'!$B$18+R206*'Sources &amp; Model'!$B$19+S206*'Sources &amp; Model'!$B$20+T206*'Sources &amp; Model'!$B$21)/SUM('Sources &amp; Model'!$B$13:$B$21))</x:f>
        <x:v>22.05342840447091</x:v>
      </x:c>
      <x:c r="V206" s="5" t="str">
        <x:v>Available</x:v>
      </x:c>
      <x:c r="W206" t="str">
        <x:v>https://help.fantasyfootballcalculator.com/article/42-adp-rest-api</x:v>
      </x:c>
    </x:row>
    <x:row r="207">
      <x:c r="A207" s="28" t="n">
        <x:v>203</x:v>
      </x:c>
      <x:c r="B207" s="28" t="str">
        <x:v>C.J. Stroud</x:v>
      </x:c>
      <x:c r="C207" s="28" t="str">
        <x:v>QB</x:v>
      </x:c>
      <x:c r="D207" s="28" t="str">
        <x:v>HOU</x:v>
      </x:c>
      <x:c r="E207" s="81" t="n">
        <x:v>8</x:v>
      </x:c>
      <x:c r="F207" s="82" t="n">
        <x:v>160.8</x:v>
      </x:c>
      <x:c r="G207" s="82" t="n">
        <x:v>125</x:v>
      </x:c>
      <x:c r="H207" s="82" t="n">
        <x:v>180</x:v>
      </x:c>
      <x:c r="I207" s="82" t="n">
        <x:v>13.4</x:v>
      </x:c>
      <x:c r="J207" s="81" t="n">
        <x:v>105</x:v>
      </x:c>
      <x:c r="K207" s="81" t="n">
        <x:v>7</x:v>
      </x:c>
      <x:c r="L207" s="83" t="n">
        <x:f>MAX(0,MIN(100,100-((F207-1)/(MAX($F$5:$F$265)-1))*100))</x:f>
        <x:v>15.583729529846806</x:v>
      </x:c>
      <x:c r="M207" s="83" t="n">
        <x:f>MAX(0,MIN(100,50+(('Sources &amp; Model'!$B$4-F207)/('Sources &amp; Model'!$B$6*2.5))*45))</x:f>
        <x:v>0</x:v>
      </x:c>
      <x:c r="N207" s="83" t="n">
        <x:f>IF(V207="Mine",0,IF(OR(C207="RB",C207="WR"),MAX(30,62-COUNTIFS($C$5:$C$265,C207,$V$5:$V$265,"Mine")*5),IF(OR(C207="D/ST",C207="K"),IF('Sources &amp; Model'!$B$4&gt;='Sources &amp; Model'!$B$6*('Sources &amp; Model'!$B$8-2),62,12),IF(COUNTIFS($C$5:$C$265,C207,$V$5:$V$265,"Mine")=0,82,38))))</x:f>
        <x:v>82</x:v>
      </x:c>
      <x:c r="O207" s="65" t="n">
        <x:v>52.4</x:v>
      </x:c>
      <x:c r="P207" s="83" t="n">
        <x:f>MAX(0,MIN(100,100/(1+EXP(-(('Sources &amp; Model'!$B$5-F207)/MAX(2.5,I207))))))</x:f>
        <x:v>0.0006620234573465831</x:v>
      </x:c>
      <x:c r="Q207" s="65" t="n">
        <x:v>90</x:v>
      </x:c>
      <x:c r="R207" s="65" t="n">
        <x:v>92</x:v>
      </x:c>
      <x:c r="S207" s="65" t="n">
        <x:v>37.6</x:v>
      </x:c>
      <x:c r="T207" s="65" t="n">
        <x:v>49.8</x:v>
      </x:c>
      <x:c r="U207" s="84" t="n">
        <x:f>IF(V207&lt;&gt;"Available","",(L207*'Sources &amp; Model'!$B$13+M207*'Sources &amp; Model'!$B$14+N207*'Sources &amp; Model'!$B$15+O207*'Sources &amp; Model'!$B$16+P207*'Sources &amp; Model'!$B$17+Q207*'Sources &amp; Model'!$B$18+R207*'Sources &amp; Model'!$B$19+S207*'Sources &amp; Model'!$B$20+T207*'Sources &amp; Model'!$B$21)/SUM('Sources &amp; Model'!$B$13:$B$21))</x:f>
        <x:v>34.216534242493644</x:v>
      </x:c>
      <x:c r="V207" s="5" t="str">
        <x:v>Available</x:v>
      </x:c>
      <x:c r="W207" t="str">
        <x:v>https://help.fantasyfootballcalculator.com/article/42-adp-rest-api</x:v>
      </x:c>
    </x:row>
    <x:row r="208">
      <x:c r="A208" s="28" t="n">
        <x:v>204</x:v>
      </x:c>
      <x:c r="B208" s="28" t="str">
        <x:v>Travis Hunter</x:v>
      </x:c>
      <x:c r="C208" s="28" t="str">
        <x:v>WR</x:v>
      </x:c>
      <x:c r="D208" s="28" t="str">
        <x:v>JAX</x:v>
      </x:c>
      <x:c r="E208" s="81" t="n">
        <x:v>7</x:v>
      </x:c>
      <x:c r="F208" s="82" t="n">
        <x:v>160.8</x:v>
      </x:c>
      <x:c r="G208" s="82" t="n">
        <x:v>91</x:v>
      </x:c>
      <x:c r="H208" s="82" t="n">
        <x:v>207</x:v>
      </x:c>
      <x:c r="I208" s="82" t="n">
        <x:v>26.7</x:v>
      </x:c>
      <x:c r="J208" s="81" t="n">
        <x:v>53</x:v>
      </x:c>
      <x:c r="K208" s="81" t="n">
        <x:v>10</x:v>
      </x:c>
      <x:c r="L208" s="83" t="n">
        <x:f>MAX(0,MIN(100,100-((F208-1)/(MAX($F$5:$F$265)-1))*100))</x:f>
        <x:v>15.583729529846806</x:v>
      </x:c>
      <x:c r="M208" s="83" t="n">
        <x:f>MAX(0,MIN(100,50+(('Sources &amp; Model'!$B$4-F208)/('Sources &amp; Model'!$B$6*2.5))*45))</x:f>
        <x:v>0</x:v>
      </x:c>
      <x:c r="N208" s="83" t="n">
        <x:f>IF(V208="Mine",0,IF(OR(C208="RB",C208="WR"),MAX(30,62-COUNTIFS($C$5:$C$265,C208,$V$5:$V$265,"Mine")*5),IF(OR(C208="D/ST",C208="K"),IF('Sources &amp; Model'!$B$4&gt;='Sources &amp; Model'!$B$6*('Sources &amp; Model'!$B$8-2),62,12),IF(COUNTIFS($C$5:$C$265,C208,$V$5:$V$265,"Mine")=0,82,38))))</x:f>
        <x:v>62</x:v>
      </x:c>
      <x:c r="O208" s="65" t="n">
        <x:v>42.5</x:v>
      </x:c>
      <x:c r="P208" s="83" t="n">
        <x:f>MAX(0,MIN(100,100/(1+EXP(-(('Sources &amp; Model'!$B$5-F208)/MAX(2.5,I208))))))</x:f>
        <x:v>0.2509851394565788</x:v>
      </x:c>
      <x:c r="Q208" s="65" t="n">
        <x:v>35</x:v>
      </x:c>
      <x:c r="R208" s="65" t="n">
        <x:v>92</x:v>
      </x:c>
      <x:c r="S208" s="65" t="n">
        <x:v>38.4</x:v>
      </x:c>
      <x:c r="T208" s="65" t="n">
        <x:v>50</x:v>
      </x:c>
      <x:c r="U208" s="84" t="n">
        <x:f>IF(V208&lt;&gt;"Available","",(L208*'Sources &amp; Model'!$B$13+M208*'Sources &amp; Model'!$B$14+N208*'Sources &amp; Model'!$B$15+O208*'Sources &amp; Model'!$B$16+P208*'Sources &amp; Model'!$B$17+Q208*'Sources &amp; Model'!$B$18+R208*'Sources &amp; Model'!$B$19+S208*'Sources &amp; Model'!$B$20+T208*'Sources &amp; Model'!$B$21)/SUM('Sources &amp; Model'!$B$13:$B$21))</x:f>
        <x:v>26.771566554093575</x:v>
      </x:c>
      <x:c r="V208" s="5" t="str">
        <x:v>Available</x:v>
      </x:c>
      <x:c r="W208" t="str">
        <x:v>https://help.fantasyfootballcalculator.com/article/42-adp-rest-api</x:v>
      </x:c>
    </x:row>
    <x:row r="209">
      <x:c r="A209" s="28" t="n">
        <x:v>205</x:v>
      </x:c>
      <x:c r="B209" s="28" t="str">
        <x:v>Ja'Kobi Lane</x:v>
      </x:c>
      <x:c r="C209" s="28" t="str">
        <x:v>WR</x:v>
      </x:c>
      <x:c r="D209" s="28" t="str">
        <x:v>BAL</x:v>
      </x:c>
      <x:c r="E209" s="81" t="n">
        <x:v>13</x:v>
      </x:c>
      <x:c r="F209" s="82" t="n">
        <x:v>160.9</x:v>
      </x:c>
      <x:c r="G209" s="82" t="n">
        <x:v>126</x:v>
      </x:c>
      <x:c r="H209" s="82" t="n">
        <x:v>190</x:v>
      </x:c>
      <x:c r="I209" s="82" t="n">
        <x:v>16</x:v>
      </x:c>
      <x:c r="J209" s="81" t="n">
        <x:v>24</x:v>
      </x:c>
      <x:c r="K209" s="81" t="n">
        <x:v>10</x:v>
      </x:c>
      <x:c r="L209" s="83" t="n">
        <x:f>MAX(0,MIN(100,100-((F209-1)/(MAX($F$5:$F$265)-1))*100))</x:f>
        <x:v>15.530903328050712</x:v>
      </x:c>
      <x:c r="M209" s="83" t="n">
        <x:f>MAX(0,MIN(100,50+(('Sources &amp; Model'!$B$4-F209)/('Sources &amp; Model'!$B$6*2.5))*45))</x:f>
        <x:v>0</x:v>
      </x:c>
      <x:c r="N209" s="83" t="n">
        <x:f>IF(V209="Mine",0,IF(OR(C209="RB",C209="WR"),MAX(30,62-COUNTIFS($C$5:$C$265,C209,$V$5:$V$265,"Mine")*5),IF(OR(C209="D/ST",C209="K"),IF('Sources &amp; Model'!$B$4&gt;='Sources &amp; Model'!$B$6*('Sources &amp; Model'!$B$8-2),62,12),IF(COUNTIFS($C$5:$C$265,C209,$V$5:$V$265,"Mine")=0,82,38))))</x:f>
        <x:v>62</x:v>
      </x:c>
      <x:c r="O209" s="65" t="n">
        <x:v>48</x:v>
      </x:c>
      <x:c r="P209" s="83" t="n">
        <x:f>MAX(0,MIN(100,100/(1+EXP(-(('Sources &amp; Model'!$B$5-F209)/MAX(2.5,I209))))))</x:f>
        <x:v>0.004568248090669606</x:v>
      </x:c>
      <x:c r="Q209" s="65" t="n">
        <x:v>50</x:v>
      </x:c>
      <x:c r="R209" s="65" t="n">
        <x:v>92</x:v>
      </x:c>
      <x:c r="S209" s="65" t="n">
        <x:v>31.7</x:v>
      </x:c>
      <x:c r="T209" s="65" t="n">
        <x:v>50</x:v>
      </x:c>
      <x:c r="U209" s="84" t="n">
        <x:f>IF(V209&lt;&gt;"Available","",(L209*'Sources &amp; Model'!$B$13+M209*'Sources &amp; Model'!$B$14+N209*'Sources &amp; Model'!$B$15+O209*'Sources &amp; Model'!$B$16+P209*'Sources &amp; Model'!$B$17+Q209*'Sources &amp; Model'!$B$18+R209*'Sources &amp; Model'!$B$19+S209*'Sources &amp; Model'!$B$20+T209*'Sources &amp; Model'!$B$21)/SUM('Sources &amp; Model'!$B$13:$B$21))</x:f>
        <x:v>28.15496395634631</x:v>
      </x:c>
      <x:c r="V209" s="5" t="str">
        <x:v>Available</x:v>
      </x:c>
      <x:c r="W209" t="str">
        <x:v>https://help.fantasyfootballcalculator.com/article/42-adp-rest-api</x:v>
      </x:c>
    </x:row>
    <x:row r="210">
      <x:c r="A210" s="28" t="n">
        <x:v>206</x:v>
      </x:c>
      <x:c r="B210" s="28" t="str">
        <x:v>Harrison Butker</x:v>
      </x:c>
      <x:c r="C210" s="28" t="str">
        <x:v>K</x:v>
      </x:c>
      <x:c r="D210" s="28" t="str">
        <x:v>KC</x:v>
      </x:c>
      <x:c r="E210" s="81" t="n">
        <x:v>5</x:v>
      </x:c>
      <x:c r="F210" s="82" t="n">
        <x:v>161.4</x:v>
      </x:c>
      <x:c r="G210" s="82" t="n">
        <x:v>117</x:v>
      </x:c>
      <x:c r="H210" s="82" t="n">
        <x:v>210</x:v>
      </x:c>
      <x:c r="I210" s="82" t="n">
        <x:v>16.9</x:v>
      </x:c>
      <x:c r="J210" s="81" t="n">
        <x:v>125</x:v>
      </x:c>
      <x:c r="K210" s="81" t="n">
        <x:v>4</x:v>
      </x:c>
      <x:c r="L210" s="83" t="n">
        <x:f>MAX(0,MIN(100,100-((F210-1)/(MAX($F$5:$F$265)-1))*100))</x:f>
        <x:v>15.26677231907027</x:v>
      </x:c>
      <x:c r="M210" s="83" t="n">
        <x:f>MAX(0,MIN(100,50+(('Sources &amp; Model'!$B$4-F210)/('Sources &amp; Model'!$B$6*2.5))*45))</x:f>
        <x:v>0</x:v>
      </x:c>
      <x:c r="N210" s="83" t="n">
        <x:f>IF(V210="Mine",0,IF(OR(C210="RB",C210="WR"),MAX(30,62-COUNTIFS($C$5:$C$265,C210,$V$5:$V$265,"Mine")*5),IF(OR(C210="D/ST",C210="K"),IF('Sources &amp; Model'!$B$4&gt;='Sources &amp; Model'!$B$6*('Sources &amp; Model'!$B$8-2),62,12),IF(COUNTIFS($C$5:$C$265,C210,$V$5:$V$265,"Mine")=0,82,38))))</x:f>
        <x:v>12</x:v>
      </x:c>
      <x:c r="O210" s="65" t="n">
        <x:v>55.2</x:v>
      </x:c>
      <x:c r="P210" s="83" t="n">
        <x:f>MAX(0,MIN(100,100/(1+EXP(-(('Sources &amp; Model'!$B$5-F210)/MAX(2.5,I210))))))</x:f>
        <x:v>0.007551344963935052</x:v>
      </x:c>
      <x:c r="Q210" s="65" t="n">
        <x:v>68</x:v>
      </x:c>
      <x:c r="R210" s="65" t="n">
        <x:v>92</x:v>
      </x:c>
      <x:c r="S210" s="65" t="n">
        <x:v>41.3</x:v>
      </x:c>
      <x:c r="T210" s="65" t="n">
        <x:v>50</x:v>
      </x:c>
      <x:c r="U210" s="84" t="n">
        <x:f>IF(V210&lt;&gt;"Available","",(L210*'Sources &amp; Model'!$B$13+M210*'Sources &amp; Model'!$B$14+N210*'Sources &amp; Model'!$B$15+O210*'Sources &amp; Model'!$B$16+P210*'Sources &amp; Model'!$B$17+Q210*'Sources &amp; Model'!$B$18+R210*'Sources &amp; Model'!$B$19+S210*'Sources &amp; Model'!$B$20+T210*'Sources &amp; Model'!$B$21)/SUM('Sources &amp; Model'!$B$13:$B$21))</x:f>
        <x:v>22.701457722980287</x:v>
      </x:c>
      <x:c r="V210" s="5" t="str">
        <x:v>Available</x:v>
      </x:c>
      <x:c r="W210" t="str">
        <x:v>https://help.fantasyfootballcalculator.com/article/42-adp-rest-api</x:v>
      </x:c>
    </x:row>
    <x:row r="211">
      <x:c r="A211" s="28" t="n">
        <x:v>207</x:v>
      </x:c>
      <x:c r="B211" s="28" t="str">
        <x:v>BAL Defense</x:v>
      </x:c>
      <x:c r="C211" s="28" t="str">
        <x:v>D/ST</x:v>
      </x:c>
      <x:c r="D211" s="28" t="str">
        <x:v>BAL</x:v>
      </x:c>
      <x:c r="E211" s="81" t="n">
        <x:v>13</x:v>
      </x:c>
      <x:c r="F211" s="82" t="n">
        <x:v>161.5</x:v>
      </x:c>
      <x:c r="G211" s="82" t="n">
        <x:v>119</x:v>
      </x:c>
      <x:c r="H211" s="82" t="n">
        <x:v>209</x:v>
      </x:c>
      <x:c r="I211" s="82" t="n">
        <x:v>16.1</x:v>
      </x:c>
      <x:c r="J211" s="81" t="n">
        <x:v>349</x:v>
      </x:c>
      <x:c r="K211" s="81" t="n">
        <x:v>5</x:v>
      </x:c>
      <x:c r="L211" s="83" t="n">
        <x:f>MAX(0,MIN(100,100-((F211-1)/(MAX($F$5:$F$265)-1))*100))</x:f>
        <x:v>15.213946117274162</x:v>
      </x:c>
      <x:c r="M211" s="83" t="n">
        <x:f>MAX(0,MIN(100,50+(('Sources &amp; Model'!$B$4-F211)/('Sources &amp; Model'!$B$6*2.5))*45))</x:f>
        <x:v>0</x:v>
      </x:c>
      <x:c r="N211" s="83" t="n">
        <x:f>IF(V211="Mine",0,IF(OR(C211="RB",C211="WR"),MAX(30,62-COUNTIFS($C$5:$C$265,C211,$V$5:$V$265,"Mine")*5),IF(OR(C211="D/ST",C211="K"),IF('Sources &amp; Model'!$B$4&gt;='Sources &amp; Model'!$B$6*('Sources &amp; Model'!$B$8-2),62,12),IF(COUNTIFS($C$5:$C$265,C211,$V$5:$V$265,"Mine")=0,82,38))))</x:f>
        <x:v>12</x:v>
      </x:c>
      <x:c r="O211" s="65" t="n">
        <x:v>71.7</x:v>
      </x:c>
      <x:c r="P211" s="83" t="n">
        <x:f>MAX(0,MIN(100,100/(1+EXP(-(('Sources &amp; Model'!$B$5-F211)/MAX(2.5,I211))))))</x:f>
        <x:v>0.004682979415915156</x:v>
      </x:c>
      <x:c r="Q211" s="65" t="n">
        <x:v>68</x:v>
      </x:c>
      <x:c r="R211" s="65" t="n">
        <x:v>92</x:v>
      </x:c>
      <x:c r="S211" s="65" t="n">
        <x:v>31.7</x:v>
      </x:c>
      <x:c r="T211" s="65" t="n">
        <x:v>50</x:v>
      </x:c>
      <x:c r="U211" s="84" t="n">
        <x:f>IF(V211&lt;&gt;"Available","",(L211*'Sources &amp; Model'!$B$13+M211*'Sources &amp; Model'!$B$14+N211*'Sources &amp; Model'!$B$15+O211*'Sources &amp; Model'!$B$16+P211*'Sources &amp; Model'!$B$17+Q211*'Sources &amp; Model'!$B$18+R211*'Sources &amp; Model'!$B$19+S211*'Sources &amp; Model'!$B$20+T211*'Sources &amp; Model'!$B$21)/SUM('Sources &amp; Model'!$B$13:$B$21))</x:f>
        <x:v>24.47120997781481</x:v>
      </x:c>
      <x:c r="V211" s="5" t="str">
        <x:v>Available</x:v>
      </x:c>
      <x:c r="W211" t="str">
        <x:v>https://help.fantasyfootballcalculator.com/article/42-adp-rest-api</x:v>
      </x:c>
    </x:row>
    <x:row r="212">
      <x:c r="A212" s="28" t="n">
        <x:v>208</x:v>
      </x:c>
      <x:c r="B212" s="28" t="str">
        <x:v>Chris Rodriguez</x:v>
      </x:c>
      <x:c r="C212" s="28" t="str">
        <x:v>RB</x:v>
      </x:c>
      <x:c r="D212" s="28" t="str">
        <x:v>JAX</x:v>
      </x:c>
      <x:c r="E212" s="81" t="n">
        <x:v>7</x:v>
      </x:c>
      <x:c r="F212" s="82" t="n">
        <x:v>161.8</x:v>
      </x:c>
      <x:c r="G212" s="82" t="n">
        <x:v>119</x:v>
      </x:c>
      <x:c r="H212" s="82" t="n">
        <x:v>205</x:v>
      </x:c>
      <x:c r="I212" s="82" t="n">
        <x:v>16.3</x:v>
      </x:c>
      <x:c r="J212" s="81" t="n">
        <x:v>163</x:v>
      </x:c>
      <x:c r="K212" s="81" t="n">
        <x:v>10</x:v>
      </x:c>
      <x:c r="L212" s="83" t="n">
        <x:f>MAX(0,MIN(100,100-((F212-1)/(MAX($F$5:$F$265)-1))*100))</x:f>
        <x:v>15.055467511885894</x:v>
      </x:c>
      <x:c r="M212" s="83" t="n">
        <x:f>MAX(0,MIN(100,50+(('Sources &amp; Model'!$B$4-F212)/('Sources &amp; Model'!$B$6*2.5))*45))</x:f>
        <x:v>0</x:v>
      </x:c>
      <x:c r="N212" s="83" t="n">
        <x:f>IF(V212="Mine",0,IF(OR(C212="RB",C212="WR"),MAX(30,62-COUNTIFS($C$5:$C$265,C212,$V$5:$V$265,"Mine")*5),IF(OR(C212="D/ST",C212="K"),IF('Sources &amp; Model'!$B$4&gt;='Sources &amp; Model'!$B$6*('Sources &amp; Model'!$B$8-2),62,12),IF(COUNTIFS($C$5:$C$265,C212,$V$5:$V$265,"Mine")=0,82,38))))</x:f>
        <x:v>62</x:v>
      </x:c>
      <x:c r="O212" s="65" t="n">
        <x:v>45.3</x:v>
      </x:c>
      <x:c r="P212" s="83" t="n">
        <x:f>MAX(0,MIN(100,100/(1+EXP(-(('Sources &amp; Model'!$B$5-F212)/MAX(2.5,I212))))))</x:f>
        <x:v>0.00519575959895293</x:v>
      </x:c>
      <x:c r="Q212" s="65" t="n">
        <x:v>68</x:v>
      </x:c>
      <x:c r="R212" s="65" t="n">
        <x:v>92</x:v>
      </x:c>
      <x:c r="S212" s="65" t="n">
        <x:v>38.4</x:v>
      </x:c>
      <x:c r="T212" s="65" t="n">
        <x:v>51</x:v>
      </x:c>
      <x:c r="U212" s="84" t="n">
        <x:f>IF(V212&lt;&gt;"Available","",(L212*'Sources &amp; Model'!$B$13+M212*'Sources &amp; Model'!$B$14+N212*'Sources &amp; Model'!$B$15+O212*'Sources &amp; Model'!$B$16+P212*'Sources &amp; Model'!$B$17+Q212*'Sources &amp; Model'!$B$18+R212*'Sources &amp; Model'!$B$19+S212*'Sources &amp; Model'!$B$20+T212*'Sources &amp; Model'!$B$21)/SUM('Sources &amp; Model'!$B$13:$B$21))</x:f>
        <x:v>28.8933785300011</x:v>
      </x:c>
      <x:c r="V212" s="5" t="str">
        <x:v>Available</x:v>
      </x:c>
      <x:c r="W212" t="str">
        <x:v>https://help.fantasyfootballcalculator.com/article/42-adp-rest-api</x:v>
      </x:c>
    </x:row>
    <x:row r="213">
      <x:c r="A213" s="28" t="n">
        <x:v>209</x:v>
      </x:c>
      <x:c r="B213" s="28" t="str">
        <x:v>Tre' Harris</x:v>
      </x:c>
      <x:c r="C213" s="28" t="str">
        <x:v>WR</x:v>
      </x:c>
      <x:c r="D213" s="28" t="str">
        <x:v>LAC</x:v>
      </x:c>
      <x:c r="E213" s="81" t="n">
        <x:v>7</x:v>
      </x:c>
      <x:c r="F213" s="82" t="n">
        <x:v>162</x:v>
      </x:c>
      <x:c r="G213" s="82" t="n">
        <x:v>137</x:v>
      </x:c>
      <x:c r="H213" s="82" t="n">
        <x:v>182</x:v>
      </x:c>
      <x:c r="I213" s="82" t="n">
        <x:v>18.6</x:v>
      </x:c>
      <x:c r="J213" s="81" t="n">
        <x:v>10</x:v>
      </x:c>
      <x:c r="K213" s="81" t="n">
        <x:v>10</x:v>
      </x:c>
      <x:c r="L213" s="83" t="n">
        <x:f>MAX(0,MIN(100,100-((F213-1)/(MAX($F$5:$F$265)-1))*100))</x:f>
        <x:v>14.94981510829372</x:v>
      </x:c>
      <x:c r="M213" s="83" t="n">
        <x:f>MAX(0,MIN(100,50+(('Sources &amp; Model'!$B$4-F213)/('Sources &amp; Model'!$B$6*2.5))*45))</x:f>
        <x:v>0</x:v>
      </x:c>
      <x:c r="N213" s="83" t="n">
        <x:f>IF(V213="Mine",0,IF(OR(C213="RB",C213="WR"),MAX(30,62-COUNTIFS($C$5:$C$265,C213,$V$5:$V$265,"Mine")*5),IF(OR(C213="D/ST",C213="K"),IF('Sources &amp; Model'!$B$4&gt;='Sources &amp; Model'!$B$6*('Sources &amp; Model'!$B$8-2),62,12),IF(COUNTIFS($C$5:$C$265,C213,$V$5:$V$265,"Mine")=0,82,38))))</x:f>
        <x:v>62</x:v>
      </x:c>
      <x:c r="O213" s="65" t="n">
        <x:v>43.1</x:v>
      </x:c>
      <x:c r="P213" s="83" t="n">
        <x:f>MAX(0,MIN(100,100/(1+EXP(-(('Sources &amp; Model'!$B$5-F213)/MAX(2.5,I213))))))</x:f>
        <x:v>0.01740639047409441</x:v>
      </x:c>
      <x:c r="Q213" s="65" t="n">
        <x:v>50</x:v>
      </x:c>
      <x:c r="R213" s="65" t="n">
        <x:v>92</x:v>
      </x:c>
      <x:c r="S213" s="65" t="n">
        <x:v>54.4</x:v>
      </x:c>
      <x:c r="T213" s="65" t="n">
        <x:v>50</x:v>
      </x:c>
      <x:c r="U213" s="84" t="n">
        <x:f>IF(V213&lt;&gt;"Available","",(L213*'Sources &amp; Model'!$B$13+M213*'Sources &amp; Model'!$B$14+N213*'Sources &amp; Model'!$B$15+O213*'Sources &amp; Model'!$B$16+P213*'Sources &amp; Model'!$B$17+Q213*'Sources &amp; Model'!$B$18+R213*'Sources &amp; Model'!$B$19+S213*'Sources &amp; Model'!$B$20+T213*'Sources &amp; Model'!$B$21)/SUM('Sources &amp; Model'!$B$13:$B$21))</x:f>
        <x:v>27.824677775867276</x:v>
      </x:c>
      <x:c r="V213" s="5" t="str">
        <x:v>Available</x:v>
      </x:c>
      <x:c r="W213" t="str">
        <x:v>https://help.fantasyfootballcalculator.com/article/42-adp-rest-api</x:v>
      </x:c>
    </x:row>
    <x:row r="214">
      <x:c r="A214" s="28" t="n">
        <x:v>210</x:v>
      </x:c>
      <x:c r="B214" s="28" t="str">
        <x:v>Omar Cooper</x:v>
      </x:c>
      <x:c r="C214" s="28" t="str">
        <x:v>WR</x:v>
      </x:c>
      <x:c r="D214" s="28" t="str">
        <x:v>NYJ</x:v>
      </x:c>
      <x:c r="E214" s="81" t="n">
        <x:v>13</x:v>
      </x:c>
      <x:c r="F214" s="82" t="n">
        <x:v>162.2</x:v>
      </x:c>
      <x:c r="G214" s="82" t="n">
        <x:v>109</x:v>
      </x:c>
      <x:c r="H214" s="82" t="n">
        <x:v>202</x:v>
      </x:c>
      <x:c r="I214" s="82" t="n">
        <x:v>20.2</x:v>
      </x:c>
      <x:c r="J214" s="81" t="n">
        <x:v>51</x:v>
      </x:c>
      <x:c r="K214" s="81" t="n">
        <x:v>10</x:v>
      </x:c>
      <x:c r="L214" s="83" t="n">
        <x:f>MAX(0,MIN(100,100-((F214-1)/(MAX($F$5:$F$265)-1))*100))</x:f>
        <x:v>14.844162704701546</x:v>
      </x:c>
      <x:c r="M214" s="83" t="n">
        <x:f>MAX(0,MIN(100,50+(('Sources &amp; Model'!$B$4-F214)/('Sources &amp; Model'!$B$6*2.5))*45))</x:f>
        <x:v>0</x:v>
      </x:c>
      <x:c r="N214" s="83" t="n">
        <x:f>IF(V214="Mine",0,IF(OR(C214="RB",C214="WR"),MAX(30,62-COUNTIFS($C$5:$C$265,C214,$V$5:$V$265,"Mine")*5),IF(OR(C214="D/ST",C214="K"),IF('Sources &amp; Model'!$B$4&gt;='Sources &amp; Model'!$B$6*('Sources &amp; Model'!$B$8-2),62,12),IF(COUNTIFS($C$5:$C$265,C214,$V$5:$V$265,"Mine")=0,82,38))))</x:f>
        <x:v>62</x:v>
      </x:c>
      <x:c r="O214" s="65" t="n">
        <x:v>56.9</x:v>
      </x:c>
      <x:c r="P214" s="83" t="n">
        <x:f>MAX(0,MIN(100,100/(1+EXP(-(('Sources &amp; Model'!$B$5-F214)/MAX(2.5,I214))))))</x:f>
        <x:v>0.03420546176458367</x:v>
      </x:c>
      <x:c r="Q214" s="65" t="n">
        <x:v>50</x:v>
      </x:c>
      <x:c r="R214" s="65" t="n">
        <x:v>92</x:v>
      </x:c>
      <x:c r="S214" s="65" t="n">
        <x:v>50.9</x:v>
      </x:c>
      <x:c r="T214" s="65" t="n">
        <x:v>50</x:v>
      </x:c>
      <x:c r="U214" s="84" t="n">
        <x:f>IF(V214&lt;&gt;"Available","",(L214*'Sources &amp; Model'!$B$13+M214*'Sources &amp; Model'!$B$14+N214*'Sources &amp; Model'!$B$15+O214*'Sources &amp; Model'!$B$16+P214*'Sources &amp; Model'!$B$17+Q214*'Sources &amp; Model'!$B$18+R214*'Sources &amp; Model'!$B$19+S214*'Sources &amp; Model'!$B$20+T214*'Sources &amp; Model'!$B$21)/SUM('Sources &amp; Model'!$B$13:$B$21))</x:f>
        <x:v>29.376435865774983</x:v>
      </x:c>
      <x:c r="V214" s="5" t="str">
        <x:v>Available</x:v>
      </x:c>
      <x:c r="W214" t="str">
        <x:v>https://help.fantasyfootballcalculator.com/article/42-adp-rest-api</x:v>
      </x:c>
    </x:row>
    <x:row r="215">
      <x:c r="A215" s="28" t="n">
        <x:v>211</x:v>
      </x:c>
      <x:c r="B215" s="28" t="str">
        <x:v>AJ Barner</x:v>
      </x:c>
      <x:c r="C215" s="28" t="str">
        <x:v>TE</x:v>
      </x:c>
      <x:c r="D215" s="28" t="str">
        <x:v>SEA</x:v>
      </x:c>
      <x:c r="E215" s="81" t="n">
        <x:v>11</x:v>
      </x:c>
      <x:c r="F215" s="82" t="n">
        <x:v>162.4</x:v>
      </x:c>
      <x:c r="G215" s="82" t="n">
        <x:v>151</x:v>
      </x:c>
      <x:c r="H215" s="82" t="n">
        <x:v>179</x:v>
      </x:c>
      <x:c r="I215" s="82" t="n">
        <x:v>10.2</x:v>
      </x:c>
      <x:c r="J215" s="81" t="n">
        <x:v>8</x:v>
      </x:c>
      <x:c r="K215" s="81" t="n">
        <x:v>6</x:v>
      </x:c>
      <x:c r="L215" s="83" t="n">
        <x:f>MAX(0,MIN(100,100-((F215-1)/(MAX($F$5:$F$265)-1))*100))</x:f>
        <x:v>14.738510301109358</x:v>
      </x:c>
      <x:c r="M215" s="83" t="n">
        <x:f>MAX(0,MIN(100,50+(('Sources &amp; Model'!$B$4-F215)/('Sources &amp; Model'!$B$6*2.5))*45))</x:f>
        <x:v>0</x:v>
      </x:c>
      <x:c r="N215" s="83" t="n">
        <x:f>IF(V215="Mine",0,IF(OR(C215="RB",C215="WR"),MAX(30,62-COUNTIFS($C$5:$C$265,C215,$V$5:$V$265,"Mine")*5),IF(OR(C215="D/ST",C215="K"),IF('Sources &amp; Model'!$B$4&gt;='Sources &amp; Model'!$B$6*('Sources &amp; Model'!$B$8-2),62,12),IF(COUNTIFS($C$5:$C$265,C215,$V$5:$V$265,"Mine")=0,82,38))))</x:f>
        <x:v>82</x:v>
      </x:c>
      <x:c r="O215" s="65" t="n">
        <x:v>47</x:v>
      </x:c>
      <x:c r="P215" s="83" t="n">
        <x:f>MAX(0,MIN(100,100/(1+EXP(-(('Sources &amp; Model'!$B$5-F215)/MAX(2.5,I215))))))</x:f>
        <x:v>0.000013425437092067616</x:v>
      </x:c>
      <x:c r="Q215" s="65" t="n">
        <x:v>90</x:v>
      </x:c>
      <x:c r="R215" s="65" t="n">
        <x:v>92</x:v>
      </x:c>
      <x:c r="S215" s="65" t="n">
        <x:v>33.4</x:v>
      </x:c>
      <x:c r="T215" s="65" t="n">
        <x:v>49.7</x:v>
      </x:c>
      <x:c r="U215" s="84" t="n">
        <x:f>IF(V215&lt;&gt;"Available","",(L215*'Sources &amp; Model'!$B$13+M215*'Sources &amp; Model'!$B$14+N215*'Sources &amp; Model'!$B$15+O215*'Sources &amp; Model'!$B$16+P215*'Sources &amp; Model'!$B$17+Q215*'Sources &amp; Model'!$B$18+R215*'Sources &amp; Model'!$B$19+S215*'Sources &amp; Model'!$B$20+T215*'Sources &amp; Model'!$B$21)/SUM('Sources &amp; Model'!$B$13:$B$21))</x:f>
        <x:v>33.19609484492089</x:v>
      </x:c>
      <x:c r="V215" s="5" t="str">
        <x:v>Available</x:v>
      </x:c>
      <x:c r="W215" t="str">
        <x:v>https://help.fantasyfootballcalculator.com/article/42-adp-rest-api</x:v>
      </x:c>
    </x:row>
    <x:row r="216">
      <x:c r="A216" s="28" t="n">
        <x:v>212</x:v>
      </x:c>
      <x:c r="B216" s="28" t="str">
        <x:v>Dylan Sampson</x:v>
      </x:c>
      <x:c r="C216" s="28" t="str">
        <x:v>RB</x:v>
      </x:c>
      <x:c r="D216" s="28" t="str">
        <x:v>CLE</x:v>
      </x:c>
      <x:c r="E216" s="81" t="n">
        <x:v>11</x:v>
      </x:c>
      <x:c r="F216" s="82" t="n">
        <x:v>162.4</x:v>
      </x:c>
      <x:c r="G216" s="82" t="n">
        <x:v>126</x:v>
      </x:c>
      <x:c r="H216" s="82" t="n">
        <x:v>187</x:v>
      </x:c>
      <x:c r="I216" s="82" t="n">
        <x:v>14.3</x:v>
      </x:c>
      <x:c r="J216" s="81" t="n">
        <x:v>57</x:v>
      </x:c>
      <x:c r="K216" s="81" t="n">
        <x:v>10</x:v>
      </x:c>
      <x:c r="L216" s="83" t="n">
        <x:f>MAX(0,MIN(100,100-((F216-1)/(MAX($F$5:$F$265)-1))*100))</x:f>
        <x:v>14.738510301109358</x:v>
      </x:c>
      <x:c r="M216" s="83" t="n">
        <x:f>MAX(0,MIN(100,50+(('Sources &amp; Model'!$B$4-F216)/('Sources &amp; Model'!$B$6*2.5))*45))</x:f>
        <x:v>0</x:v>
      </x:c>
      <x:c r="N216" s="83" t="n">
        <x:f>IF(V216="Mine",0,IF(OR(C216="RB",C216="WR"),MAX(30,62-COUNTIFS($C$5:$C$265,C216,$V$5:$V$265,"Mine")*5),IF(OR(C216="D/ST",C216="K"),IF('Sources &amp; Model'!$B$4&gt;='Sources &amp; Model'!$B$6*('Sources &amp; Model'!$B$8-2),62,12),IF(COUNTIFS($C$5:$C$265,C216,$V$5:$V$265,"Mine")=0,82,38))))</x:f>
        <x:v>62</x:v>
      </x:c>
      <x:c r="O216" s="65" t="n">
        <x:v>44.2</x:v>
      </x:c>
      <x:c r="P216" s="83" t="n">
        <x:f>MAX(0,MIN(100,100/(1+EXP(-(('Sources &amp; Model'!$B$5-F216)/MAX(2.5,I216))))))</x:f>
        <x:v>0.0012538259540051883</x:v>
      </x:c>
      <x:c r="Q216" s="65" t="n">
        <x:v>68</x:v>
      </x:c>
      <x:c r="R216" s="65" t="n">
        <x:v>92</x:v>
      </x:c>
      <x:c r="S216" s="65" t="n">
        <x:v>49.4</x:v>
      </x:c>
      <x:c r="T216" s="65" t="n">
        <x:v>50</x:v>
      </x:c>
      <x:c r="U216" s="84" t="n">
        <x:f>IF(V216&lt;&gt;"Available","",(L216*'Sources &amp; Model'!$B$13+M216*'Sources &amp; Model'!$B$14+N216*'Sources &amp; Model'!$B$15+O216*'Sources &amp; Model'!$B$16+P216*'Sources &amp; Model'!$B$17+Q216*'Sources &amp; Model'!$B$18+R216*'Sources &amp; Model'!$B$19+S216*'Sources &amp; Model'!$B$20+T216*'Sources &amp; Model'!$B$21)/SUM('Sources &amp; Model'!$B$13:$B$21))</x:f>
        <x:v>28.863218884972586</x:v>
      </x:c>
      <x:c r="V216" s="5" t="str">
        <x:v>Available</x:v>
      </x:c>
      <x:c r="W216" t="str">
        <x:v>https://help.fantasyfootballcalculator.com/article/42-adp-rest-api</x:v>
      </x:c>
    </x:row>
    <x:row r="217">
      <x:c r="A217" s="28" t="n">
        <x:v>213</x:v>
      </x:c>
      <x:c r="B217" s="28" t="str">
        <x:v>Malik Willis</x:v>
      </x:c>
      <x:c r="C217" s="28" t="str">
        <x:v>QB</x:v>
      </x:c>
      <x:c r="D217" s="28" t="str">
        <x:v>MIA</x:v>
      </x:c>
      <x:c r="E217" s="81" t="n">
        <x:v>6</x:v>
      </x:c>
      <x:c r="F217" s="82" t="n">
        <x:v>162.7</x:v>
      </x:c>
      <x:c r="G217" s="82" t="n">
        <x:v>132</x:v>
      </x:c>
      <x:c r="H217" s="82" t="n">
        <x:v>194</x:v>
      </x:c>
      <x:c r="I217" s="82" t="n">
        <x:v>11.6</x:v>
      </x:c>
      <x:c r="J217" s="81" t="n">
        <x:v>174</x:v>
      </x:c>
      <x:c r="K217" s="81" t="n">
        <x:v>7</x:v>
      </x:c>
      <x:c r="L217" s="83" t="n">
        <x:f>MAX(0,MIN(100,100-((F217-1)/(MAX($F$5:$F$265)-1))*100))</x:f>
        <x:v>14.58003169572109</x:v>
      </x:c>
      <x:c r="M217" s="83" t="n">
        <x:f>MAX(0,MIN(100,50+(('Sources &amp; Model'!$B$4-F217)/('Sources &amp; Model'!$B$6*2.5))*45))</x:f>
        <x:v>0</x:v>
      </x:c>
      <x:c r="N217" s="83" t="n">
        <x:f>IF(V217="Mine",0,IF(OR(C217="RB",C217="WR"),MAX(30,62-COUNTIFS($C$5:$C$265,C217,$V$5:$V$265,"Mine")*5),IF(OR(C217="D/ST",C217="K"),IF('Sources &amp; Model'!$B$4&gt;='Sources &amp; Model'!$B$6*('Sources &amp; Model'!$B$8-2),62,12),IF(COUNTIFS($C$5:$C$265,C217,$V$5:$V$265,"Mine")=0,82,38))))</x:f>
        <x:v>82</x:v>
      </x:c>
      <x:c r="O217" s="65" t="n">
        <x:v>60.2</x:v>
      </x:c>
      <x:c r="P217" s="83" t="n">
        <x:f>MAX(0,MIN(100,100/(1+EXP(-(('Sources &amp; Model'!$B$5-F217)/MAX(2.5,I217))))))</x:f>
        <x:v>0.00008832513204965282</x:v>
      </x:c>
      <x:c r="Q217" s="65" t="n">
        <x:v>90</x:v>
      </x:c>
      <x:c r="R217" s="65" t="n">
        <x:v>92</x:v>
      </x:c>
      <x:c r="S217" s="65" t="n">
        <x:v>50.9</x:v>
      </x:c>
      <x:c r="T217" s="65" t="n">
        <x:v>50</x:v>
      </x:c>
      <x:c r="U217" s="84" t="n">
        <x:f>IF(V217&lt;&gt;"Available","",(L217*'Sources &amp; Model'!$B$13+M217*'Sources &amp; Model'!$B$14+N217*'Sources &amp; Model'!$B$15+O217*'Sources &amp; Model'!$B$16+P217*'Sources &amp; Model'!$B$17+Q217*'Sources &amp; Model'!$B$18+R217*'Sources &amp; Model'!$B$19+S217*'Sources &amp; Model'!$B$20+T217*'Sources &amp; Model'!$B$21)/SUM('Sources &amp; Model'!$B$13:$B$21))</x:f>
        <x:v>35.07921960905838</x:v>
      </x:c>
      <x:c r="V217" s="5" t="str">
        <x:v>Available</x:v>
      </x:c>
      <x:c r="W217" t="str">
        <x:v>https://help.fantasyfootballcalculator.com/article/42-adp-rest-api</x:v>
      </x:c>
    </x:row>
    <x:row r="218">
      <x:c r="A218" s="28" t="n">
        <x:v>214</x:v>
      </x:c>
      <x:c r="B218" s="28" t="str">
        <x:v>Ty Johnson</x:v>
      </x:c>
      <x:c r="C218" s="28" t="str">
        <x:v>RB</x:v>
      </x:c>
      <x:c r="D218" s="28" t="str">
        <x:v>BUF</x:v>
      </x:c>
      <x:c r="E218" s="81" t="n">
        <x:v>7</x:v>
      </x:c>
      <x:c r="F218" s="82" t="n">
        <x:v>162.8</x:v>
      </x:c>
      <x:c r="G218" s="82" t="n">
        <x:v>92</x:v>
      </x:c>
      <x:c r="H218" s="82" t="n">
        <x:v>207</x:v>
      </x:c>
      <x:c r="I218" s="82" t="n">
        <x:v>44.5</x:v>
      </x:c>
      <x:c r="J218" s="81" t="n">
        <x:v>16</x:v>
      </x:c>
      <x:c r="K218" s="81" t="n">
        <x:v>10</x:v>
      </x:c>
      <x:c r="L218" s="83" t="n">
        <x:f>MAX(0,MIN(100,100-((F218-1)/(MAX($F$5:$F$265)-1))*100))</x:f>
        <x:v>14.527205493924981</x:v>
      </x:c>
      <x:c r="M218" s="83" t="n">
        <x:f>MAX(0,MIN(100,50+(('Sources &amp; Model'!$B$4-F218)/('Sources &amp; Model'!$B$6*2.5))*45))</x:f>
        <x:v>0</x:v>
      </x:c>
      <x:c r="N218" s="83" t="n">
        <x:f>IF(V218="Mine",0,IF(OR(C218="RB",C218="WR"),MAX(30,62-COUNTIFS($C$5:$C$265,C218,$V$5:$V$265,"Mine")*5),IF(OR(C218="D/ST",C218="K"),IF('Sources &amp; Model'!$B$4&gt;='Sources &amp; Model'!$B$6*('Sources &amp; Model'!$B$8-2),62,12),IF(COUNTIFS($C$5:$C$265,C218,$V$5:$V$265,"Mine")=0,82,38))))</x:f>
        <x:v>62</x:v>
      </x:c>
      <x:c r="O218" s="65" t="n">
        <x:v>43.6</x:v>
      </x:c>
      <x:c r="P218" s="83" t="n">
        <x:f>MAX(0,MIN(100,100/(1+EXP(-(('Sources &amp; Model'!$B$5-F218)/MAX(2.5,I218))))))</x:f>
        <x:v>2.568180796537708</x:v>
      </x:c>
      <x:c r="Q218" s="65" t="n">
        <x:v>68</x:v>
      </x:c>
      <x:c r="R218" s="65" t="n">
        <x:v>52</x:v>
      </x:c>
      <x:c r="S218" s="65" t="n">
        <x:v>30.8</x:v>
      </x:c>
      <x:c r="T218" s="65" t="n">
        <x:v>49.5</x:v>
      </x:c>
      <x:c r="U218" s="84" t="n">
        <x:f>IF(V218&lt;&gt;"Available","",(L218*'Sources &amp; Model'!$B$13+M218*'Sources &amp; Model'!$B$14+N218*'Sources &amp; Model'!$B$15+O218*'Sources &amp; Model'!$B$16+P218*'Sources &amp; Model'!$B$17+Q218*'Sources &amp; Model'!$B$18+R218*'Sources &amp; Model'!$B$19+S218*'Sources &amp; Model'!$B$20+T218*'Sources &amp; Model'!$B$21)/SUM('Sources &amp; Model'!$B$13:$B$21))</x:f>
        <x:v>26.999067947588266</x:v>
      </x:c>
      <x:c r="V218" s="5" t="str">
        <x:v>Available</x:v>
      </x:c>
      <x:c r="W218" t="str">
        <x:v>https://help.fantasyfootballcalculator.com/article/42-adp-rest-api</x:v>
      </x:c>
    </x:row>
    <x:row r="219">
      <x:c r="A219" s="28" t="n">
        <x:v>215</x:v>
      </x:c>
      <x:c r="B219" s="28" t="str">
        <x:v>Jordan James</x:v>
      </x:c>
      <x:c r="C219" s="28" t="str">
        <x:v>RB</x:v>
      </x:c>
      <x:c r="D219" s="28" t="str">
        <x:v>SF</x:v>
      </x:c>
      <x:c r="E219" s="81" t="n">
        <x:v>8</x:v>
      </x:c>
      <x:c r="F219" s="82" t="n">
        <x:v>163.1</x:v>
      </x:c>
      <x:c r="G219" s="82" t="n">
        <x:v>148</x:v>
      </x:c>
      <x:c r="H219" s="82" t="n">
        <x:v>176</x:v>
      </x:c>
      <x:c r="I219" s="82" t="n">
        <x:v>11.5</x:v>
      </x:c>
      <x:c r="J219" s="81" t="n">
        <x:v>7</x:v>
      </x:c>
      <x:c r="K219" s="81" t="n">
        <x:v>11</x:v>
      </x:c>
      <x:c r="L219" s="83" t="n">
        <x:f>MAX(0,MIN(100,100-((F219-1)/(MAX($F$5:$F$265)-1))*100))</x:f>
        <x:v>14.368726888536713</x:v>
      </x:c>
      <x:c r="M219" s="83" t="n">
        <x:f>MAX(0,MIN(100,50+(('Sources &amp; Model'!$B$4-F219)/('Sources &amp; Model'!$B$6*2.5))*45))</x:f>
        <x:v>0</x:v>
      </x:c>
      <x:c r="N219" s="83" t="n">
        <x:f>IF(V219="Mine",0,IF(OR(C219="RB",C219="WR"),MAX(30,62-COUNTIFS($C$5:$C$265,C219,$V$5:$V$265,"Mine")*5),IF(OR(C219="D/ST",C219="K"),IF('Sources &amp; Model'!$B$4&gt;='Sources &amp; Model'!$B$6*('Sources &amp; Model'!$B$8-2),62,12),IF(COUNTIFS($C$5:$C$265,C219,$V$5:$V$265,"Mine")=0,82,38))))</x:f>
        <x:v>62</x:v>
      </x:c>
      <x:c r="O219" s="65" t="n">
        <x:v>51.4</x:v>
      </x:c>
      <x:c r="P219" s="83" t="n">
        <x:f>MAX(0,MIN(100,100/(1+EXP(-(('Sources &amp; Model'!$B$5-F219)/MAX(2.5,I219))))))</x:f>
        <x:v>0.0000755676146955537</x:v>
      </x:c>
      <x:c r="Q219" s="65" t="n">
        <x:v>68</x:v>
      </x:c>
      <x:c r="R219" s="65" t="n">
        <x:v>52</x:v>
      </x:c>
      <x:c r="S219" s="65" t="n">
        <x:v>39.3</x:v>
      </x:c>
      <x:c r="T219" s="65" t="n">
        <x:v>50</x:v>
      </x:c>
      <x:c r="U219" s="84" t="n">
        <x:f>IF(V219&lt;&gt;"Available","",(L219*'Sources &amp; Model'!$B$13+M219*'Sources &amp; Model'!$B$14+N219*'Sources &amp; Model'!$B$15+O219*'Sources &amp; Model'!$B$16+P219*'Sources &amp; Model'!$B$17+Q219*'Sources &amp; Model'!$B$18+R219*'Sources &amp; Model'!$B$19+S219*'Sources &amp; Model'!$B$20+T219*'Sources &amp; Model'!$B$21)/SUM('Sources &amp; Model'!$B$13:$B$21))</x:f>
        <x:v>27.799374698863954</x:v>
      </x:c>
      <x:c r="V219" s="5" t="str">
        <x:v>Available</x:v>
      </x:c>
      <x:c r="W219" t="str">
        <x:v>https://help.fantasyfootballcalculator.com/article/42-adp-rest-api</x:v>
      </x:c>
    </x:row>
    <x:row r="220">
      <x:c r="A220" s="28" t="n">
        <x:v>216</x:v>
      </x:c>
      <x:c r="B220" s="28" t="str">
        <x:v>Chig Okonkwo</x:v>
      </x:c>
      <x:c r="C220" s="28" t="str">
        <x:v>TE</x:v>
      </x:c>
      <x:c r="D220" s="28" t="str">
        <x:v>WAS</x:v>
      </x:c>
      <x:c r="E220" s="81" t="n">
        <x:v>7</x:v>
      </x:c>
      <x:c r="F220" s="82" t="n">
        <x:v>163.3</x:v>
      </x:c>
      <x:c r="G220" s="82" t="n">
        <x:v>124</x:v>
      </x:c>
      <x:c r="H220" s="82" t="n">
        <x:v>200</x:v>
      </x:c>
      <x:c r="I220" s="82" t="n">
        <x:v>18.5</x:v>
      </x:c>
      <x:c r="J220" s="81" t="n">
        <x:v>37</x:v>
      </x:c>
      <x:c r="K220" s="81" t="n">
        <x:v>7</x:v>
      </x:c>
      <x:c r="L220" s="83" t="n">
        <x:f>MAX(0,MIN(100,100-((F220-1)/(MAX($F$5:$F$265)-1))*100))</x:f>
        <x:v>14.263074484944525</x:v>
      </x:c>
      <x:c r="M220" s="83" t="n">
        <x:f>MAX(0,MIN(100,50+(('Sources &amp; Model'!$B$4-F220)/('Sources &amp; Model'!$B$6*2.5))*45))</x:f>
        <x:v>0</x:v>
      </x:c>
      <x:c r="N220" s="83" t="n">
        <x:f>IF(V220="Mine",0,IF(OR(C220="RB",C220="WR"),MAX(30,62-COUNTIFS($C$5:$C$265,C220,$V$5:$V$265,"Mine")*5),IF(OR(C220="D/ST",C220="K"),IF('Sources &amp; Model'!$B$4&gt;='Sources &amp; Model'!$B$6*('Sources &amp; Model'!$B$8-2),62,12),IF(COUNTIFS($C$5:$C$265,C220,$V$5:$V$265,"Mine")=0,82,38))))</x:f>
        <x:v>82</x:v>
      </x:c>
      <x:c r="O220" s="65" t="n">
        <x:v>43.1</x:v>
      </x:c>
      <x:c r="P220" s="83" t="n">
        <x:f>MAX(0,MIN(100,100/(1+EXP(-(('Sources &amp; Model'!$B$5-F220)/MAX(2.5,I220))))))</x:f>
        <x:v>0.015483851490234304</x:v>
      </x:c>
      <x:c r="Q220" s="65" t="n">
        <x:v>90</x:v>
      </x:c>
      <x:c r="R220" s="65" t="n">
        <x:v>92</x:v>
      </x:c>
      <x:c r="S220" s="65" t="n">
        <x:v>41.1</x:v>
      </x:c>
      <x:c r="T220" s="65" t="n">
        <x:v>49.8</x:v>
      </x:c>
      <x:c r="U220" s="84" t="n">
        <x:f>IF(V220&lt;&gt;"Available","",(L220*'Sources &amp; Model'!$B$13+M220*'Sources &amp; Model'!$B$14+N220*'Sources &amp; Model'!$B$15+O220*'Sources &amp; Model'!$B$16+P220*'Sources &amp; Model'!$B$17+Q220*'Sources &amp; Model'!$B$18+R220*'Sources &amp; Model'!$B$19+S220*'Sources &amp; Model'!$B$20+T220*'Sources &amp; Model'!$B$21)/SUM('Sources &amp; Model'!$B$13:$B$21))</x:f>
        <x:v>32.72299371003017</x:v>
      </x:c>
      <x:c r="V220" s="5" t="str">
        <x:v>Available</x:v>
      </x:c>
      <x:c r="W220" t="str">
        <x:v>https://help.fantasyfootballcalculator.com/article/42-adp-rest-api</x:v>
      </x:c>
    </x:row>
    <x:row r="221">
      <x:c r="A221" s="28" t="n">
        <x:v>217</x:v>
      </x:c>
      <x:c r="B221" s="28" t="str">
        <x:v>Brenton Strange</x:v>
      </x:c>
      <x:c r="C221" s="28" t="str">
        <x:v>TE</x:v>
      </x:c>
      <x:c r="D221" s="28" t="str">
        <x:v>JAX</x:v>
      </x:c>
      <x:c r="E221" s="81" t="n">
        <x:v>7</x:v>
      </x:c>
      <x:c r="F221" s="82" t="n">
        <x:v>163.5</x:v>
      </x:c>
      <x:c r="G221" s="82" t="n">
        <x:v>127</x:v>
      </x:c>
      <x:c r="H221" s="82" t="n">
        <x:v>197</x:v>
      </x:c>
      <x:c r="I221" s="82" t="n">
        <x:v>16.3</x:v>
      </x:c>
      <x:c r="J221" s="81" t="n">
        <x:v>91</x:v>
      </x:c>
      <x:c r="K221" s="81" t="n">
        <x:v>7</x:v>
      </x:c>
      <x:c r="L221" s="83" t="n">
        <x:f>MAX(0,MIN(100,100-((F221-1)/(MAX($F$5:$F$265)-1))*100))</x:f>
        <x:v>14.157422081352351</x:v>
      </x:c>
      <x:c r="M221" s="83" t="n">
        <x:f>MAX(0,MIN(100,50+(('Sources &amp; Model'!$B$4-F221)/('Sources &amp; Model'!$B$6*2.5))*45))</x:f>
        <x:v>0</x:v>
      </x:c>
      <x:c r="N221" s="83" t="n">
        <x:f>IF(V221="Mine",0,IF(OR(C221="RB",C221="WR"),MAX(30,62-COUNTIFS($C$5:$C$265,C221,$V$5:$V$265,"Mine")*5),IF(OR(C221="D/ST",C221="K"),IF('Sources &amp; Model'!$B$4&gt;='Sources &amp; Model'!$B$6*('Sources &amp; Model'!$B$8-2),62,12),IF(COUNTIFS($C$5:$C$265,C221,$V$5:$V$265,"Mine")=0,82,38))))</x:f>
        <x:v>82</x:v>
      </x:c>
      <x:c r="O221" s="65" t="n">
        <x:v>54.1</x:v>
      </x:c>
      <x:c r="P221" s="83" t="n">
        <x:f>MAX(0,MIN(100,100/(1+EXP(-(('Sources &amp; Model'!$B$5-F221)/MAX(2.5,I221))))))</x:f>
        <x:v>0.0046811953713632466</x:v>
      </x:c>
      <x:c r="Q221" s="65" t="n">
        <x:v>90</x:v>
      </x:c>
      <x:c r="R221" s="65" t="n">
        <x:v>92</x:v>
      </x:c>
      <x:c r="S221" s="65" t="n">
        <x:v>38.4</x:v>
      </x:c>
      <x:c r="T221" s="65" t="n">
        <x:v>50</x:v>
      </x:c>
      <x:c r="U221" s="84" t="n">
        <x:f>IF(V221&lt;&gt;"Available","",(L221*'Sources &amp; Model'!$B$13+M221*'Sources &amp; Model'!$B$14+N221*'Sources &amp; Model'!$B$15+O221*'Sources &amp; Model'!$B$16+P221*'Sources &amp; Model'!$B$17+Q221*'Sources &amp; Model'!$B$18+R221*'Sources &amp; Model'!$B$19+S221*'Sources &amp; Model'!$B$20+T221*'Sources &amp; Model'!$B$21)/SUM('Sources &amp; Model'!$B$13:$B$21))</x:f>
        <x:v>33.953991627196935</x:v>
      </x:c>
      <x:c r="V221" s="5" t="str">
        <x:v>Available</x:v>
      </x:c>
      <x:c r="W221" t="str">
        <x:v>https://help.fantasyfootballcalculator.com/article/42-adp-rest-api</x:v>
      </x:c>
    </x:row>
    <x:row r="222">
      <x:c r="A222" s="28" t="n">
        <x:v>218</x:v>
      </x:c>
      <x:c r="B222" s="28" t="str">
        <x:v>Trey Smack</x:v>
      </x:c>
      <x:c r="C222" s="28" t="str">
        <x:v>K</x:v>
      </x:c>
      <x:c r="D222" s="28" t="str">
        <x:v>GB</x:v>
      </x:c>
      <x:c r="E222" s="81" t="n">
        <x:v>11</x:v>
      </x:c>
      <x:c r="F222" s="82" t="n">
        <x:v>163.8</x:v>
      </x:c>
      <x:c r="G222" s="82" t="n">
        <x:v>141</x:v>
      </x:c>
      <x:c r="H222" s="82" t="n">
        <x:v>177</x:v>
      </x:c>
      <x:c r="I222" s="82" t="n">
        <x:v>15.1</x:v>
      </x:c>
      <x:c r="J222" s="81" t="n">
        <x:v>12</x:v>
      </x:c>
      <x:c r="K222" s="81" t="n">
        <x:v>4</x:v>
      </x:c>
      <x:c r="L222" s="83" t="n">
        <x:f>MAX(0,MIN(100,100-((F222-1)/(MAX($F$5:$F$265)-1))*100))</x:f>
        <x:v>13.998943475964083</x:v>
      </x:c>
      <x:c r="M222" s="83" t="n">
        <x:f>MAX(0,MIN(100,50+(('Sources &amp; Model'!$B$4-F222)/('Sources &amp; Model'!$B$6*2.5))*45))</x:f>
        <x:v>0</x:v>
      </x:c>
      <x:c r="N222" s="83" t="n">
        <x:f>IF(V222="Mine",0,IF(OR(C222="RB",C222="WR"),MAX(30,62-COUNTIFS($C$5:$C$265,C222,$V$5:$V$265,"Mine")*5),IF(OR(C222="D/ST",C222="K"),IF('Sources &amp; Model'!$B$4&gt;='Sources &amp; Model'!$B$6*('Sources &amp; Model'!$B$8-2),62,12),IF(COUNTIFS($C$5:$C$265,C222,$V$5:$V$265,"Mine")=0,82,38))))</x:f>
        <x:v>12</x:v>
      </x:c>
      <x:c r="O222" s="65" t="n">
        <x:v>48.6</x:v>
      </x:c>
      <x:c r="P222" s="83" t="n">
        <x:f>MAX(0,MIN(100,100/(1+EXP(-(('Sources &amp; Model'!$B$5-F222)/MAX(2.5,I222))))))</x:f>
        <x:v>0.002078086940279739</x:v>
      </x:c>
      <x:c r="Q222" s="65" t="n">
        <x:v>68</x:v>
      </x:c>
      <x:c r="R222" s="65" t="n">
        <x:v>92</x:v>
      </x:c>
      <x:c r="S222" s="65" t="n">
        <x:v>41.8</x:v>
      </x:c>
      <x:c r="T222" s="65" t="n">
        <x:v>50</x:v>
      </x:c>
      <x:c r="U222" s="84" t="n">
        <x:f>IF(V222&lt;&gt;"Available","",(L222*'Sources &amp; Model'!$B$13+M222*'Sources &amp; Model'!$B$14+N222*'Sources &amp; Model'!$B$15+O222*'Sources &amp; Model'!$B$16+P222*'Sources &amp; Model'!$B$17+Q222*'Sources &amp; Model'!$B$18+R222*'Sources &amp; Model'!$B$19+S222*'Sources &amp; Model'!$B$20+T222*'Sources &amp; Model'!$B$21)/SUM('Sources &amp; Model'!$B$13:$B$21))</x:f>
        <x:v>21.487848590521818</x:v>
      </x:c>
      <x:c r="V222" s="5" t="str">
        <x:v>Available</x:v>
      </x:c>
      <x:c r="W222" t="str">
        <x:v>https://help.fantasyfootballcalculator.com/article/42-adp-rest-api</x:v>
      </x:c>
    </x:row>
    <x:row r="223">
      <x:c r="A223" s="28" t="n">
        <x:v>219</x:v>
      </x:c>
      <x:c r="B223" s="28" t="str">
        <x:v>Brian Robinson</x:v>
      </x:c>
      <x:c r="C223" s="28" t="str">
        <x:v>RB</x:v>
      </x:c>
      <x:c r="D223" s="28" t="str">
        <x:v>ATL</x:v>
      </x:c>
      <x:c r="E223" s="81" t="n">
        <x:v>11</x:v>
      </x:c>
      <x:c r="F223" s="82" t="n">
        <x:v>164.8</x:v>
      </x:c>
      <x:c r="G223" s="82" t="n">
        <x:v>104</x:v>
      </x:c>
      <x:c r="H223" s="82" t="n">
        <x:v>207</x:v>
      </x:c>
      <x:c r="I223" s="82" t="n">
        <x:v>23.3</x:v>
      </x:c>
      <x:c r="J223" s="81" t="n">
        <x:v>31</x:v>
      </x:c>
      <x:c r="K223" s="81" t="n">
        <x:v>11</x:v>
      </x:c>
      <x:c r="L223" s="83" t="n">
        <x:f>MAX(0,MIN(100,100-((F223-1)/(MAX($F$5:$F$265)-1))*100))</x:f>
        <x:v>13.47068145800317</x:v>
      </x:c>
      <x:c r="M223" s="83" t="n">
        <x:f>MAX(0,MIN(100,50+(('Sources &amp; Model'!$B$4-F223)/('Sources &amp; Model'!$B$6*2.5))*45))</x:f>
        <x:v>0</x:v>
      </x:c>
      <x:c r="N223" s="83" t="n">
        <x:f>IF(V223="Mine",0,IF(OR(C223="RB",C223="WR"),MAX(30,62-COUNTIFS($C$5:$C$265,C223,$V$5:$V$265,"Mine")*5),IF(OR(C223="D/ST",C223="K"),IF('Sources &amp; Model'!$B$4&gt;='Sources &amp; Model'!$B$6*('Sources &amp; Model'!$B$8-2),62,12),IF(COUNTIFS($C$5:$C$265,C223,$V$5:$V$265,"Mine")=0,82,38))))</x:f>
        <x:v>62</x:v>
      </x:c>
      <x:c r="O223" s="65" t="n">
        <x:v>42</x:v>
      </x:c>
      <x:c r="P223" s="83" t="n">
        <x:f>MAX(0,MIN(100,100/(1+EXP(-(('Sources &amp; Model'!$B$5-F223)/MAX(2.5,I223))))))</x:f>
        <x:v>0.088411145675815</x:v>
      </x:c>
      <x:c r="Q223" s="65" t="n">
        <x:v>68</x:v>
      </x:c>
      <x:c r="R223" s="65" t="n">
        <x:v>92</x:v>
      </x:c>
      <x:c r="S223" s="65" t="n">
        <x:v>42.1</x:v>
      </x:c>
      <x:c r="T223" s="65" t="n">
        <x:v>50.6</x:v>
      </x:c>
      <x:c r="U223" s="84" t="n">
        <x:f>IF(V223&lt;&gt;"Available","",(L223*'Sources &amp; Model'!$B$13+M223*'Sources &amp; Model'!$B$14+N223*'Sources &amp; Model'!$B$15+O223*'Sources &amp; Model'!$B$16+P223*'Sources &amp; Model'!$B$17+Q223*'Sources &amp; Model'!$B$18+R223*'Sources &amp; Model'!$B$19+S223*'Sources &amp; Model'!$B$20+T223*'Sources &amp; Model'!$B$21)/SUM('Sources &amp; Model'!$B$13:$B$21))</x:f>
        <x:v>28.036872810288656</x:v>
      </x:c>
      <x:c r="V223" s="5" t="str">
        <x:v>Available</x:v>
      </x:c>
      <x:c r="W223" t="str">
        <x:v>https://help.fantasyfootballcalculator.com/article/42-adp-rest-api</x:v>
      </x:c>
    </x:row>
    <x:row r="224">
      <x:c r="A224" s="28" t="n">
        <x:v>220</x:v>
      </x:c>
      <x:c r="B224" s="28" t="str">
        <x:v>Tank Bigsby</x:v>
      </x:c>
      <x:c r="C224" s="28" t="str">
        <x:v>RB</x:v>
      </x:c>
      <x:c r="D224" s="28" t="str">
        <x:v>PHI</x:v>
      </x:c>
      <x:c r="E224" s="81" t="n">
        <x:v>10</x:v>
      </x:c>
      <x:c r="F224" s="82" t="n">
        <x:v>164.8</x:v>
      </x:c>
      <x:c r="G224" s="82" t="n">
        <x:v>124</x:v>
      </x:c>
      <x:c r="H224" s="82" t="n">
        <x:v>206</x:v>
      </x:c>
      <x:c r="I224" s="82" t="n">
        <x:v>17.8</x:v>
      </x:c>
      <x:c r="J224" s="81" t="n">
        <x:v>79</x:v>
      </x:c>
      <x:c r="K224" s="81" t="n">
        <x:v>11</x:v>
      </x:c>
      <x:c r="L224" s="83" t="n">
        <x:f>MAX(0,MIN(100,100-((F224-1)/(MAX($F$5:$F$265)-1))*100))</x:f>
        <x:v>13.47068145800317</x:v>
      </x:c>
      <x:c r="M224" s="83" t="n">
        <x:f>MAX(0,MIN(100,50+(('Sources &amp; Model'!$B$4-F224)/('Sources &amp; Model'!$B$6*2.5))*45))</x:f>
        <x:v>0</x:v>
      </x:c>
      <x:c r="N224" s="83" t="n">
        <x:f>IF(V224="Mine",0,IF(OR(C224="RB",C224="WR"),MAX(30,62-COUNTIFS($C$5:$C$265,C224,$V$5:$V$265,"Mine")*5),IF(OR(C224="D/ST",C224="K"),IF('Sources &amp; Model'!$B$4&gt;='Sources &amp; Model'!$B$6*('Sources &amp; Model'!$B$8-2),62,12),IF(COUNTIFS($C$5:$C$265,C224,$V$5:$V$265,"Mine")=0,82,38))))</x:f>
        <x:v>62</x:v>
      </x:c>
      <x:c r="O224" s="65" t="n">
        <x:v>43.6</x:v>
      </x:c>
      <x:c r="P224" s="83" t="n">
        <x:f>MAX(0,MIN(100,100/(1+EXP(-(('Sources &amp; Model'!$B$5-F224)/MAX(2.5,I224))))))</x:f>
        <x:v>0.010080243977207077</x:v>
      </x:c>
      <x:c r="Q224" s="65" t="n">
        <x:v>68</x:v>
      </x:c>
      <x:c r="R224" s="65" t="n">
        <x:v>92</x:v>
      </x:c>
      <x:c r="S224" s="65" t="n">
        <x:v>29.7</x:v>
      </x:c>
      <x:c r="T224" s="65" t="n">
        <x:v>50.4</x:v>
      </x:c>
      <x:c r="U224" s="84" t="n">
        <x:f>IF(V224&lt;&gt;"Available","",(L224*'Sources &amp; Model'!$B$13+M224*'Sources &amp; Model'!$B$14+N224*'Sources &amp; Model'!$B$15+O224*'Sources &amp; Model'!$B$16+P224*'Sources &amp; Model'!$B$17+Q224*'Sources &amp; Model'!$B$18+R224*'Sources &amp; Model'!$B$19+S224*'Sources &amp; Model'!$B$20+T224*'Sources &amp; Model'!$B$21)/SUM('Sources &amp; Model'!$B$13:$B$21))</x:f>
        <x:v>27.971039720118796</x:v>
      </x:c>
      <x:c r="V224" s="5" t="str">
        <x:v>Available</x:v>
      </x:c>
      <x:c r="W224" t="str">
        <x:v>https://help.fantasyfootballcalculator.com/article/42-adp-rest-api</x:v>
      </x:c>
    </x:row>
    <x:row r="225">
      <x:c r="A225" s="28" t="n">
        <x:v>221</x:v>
      </x:c>
      <x:c r="B225" s="28" t="str">
        <x:v>Antonio Williams</x:v>
      </x:c>
      <x:c r="C225" s="28" t="str">
        <x:v>WR</x:v>
      </x:c>
      <x:c r="D225" s="28" t="str">
        <x:v>WAS</x:v>
      </x:c>
      <x:c r="E225" s="81" t="n">
        <x:v>7</x:v>
      </x:c>
      <x:c r="F225" s="82" t="n">
        <x:v>164.9</x:v>
      </x:c>
      <x:c r="G225" s="82" t="n">
        <x:v>137</x:v>
      </x:c>
      <x:c r="H225" s="82" t="n">
        <x:v>179</x:v>
      </x:c>
      <x:c r="I225" s="82" t="n">
        <x:v>12.4</x:v>
      </x:c>
      <x:c r="J225" s="81" t="n">
        <x:v>19</x:v>
      </x:c>
      <x:c r="K225" s="81" t="n">
        <x:v>11</x:v>
      </x:c>
      <x:c r="L225" s="83" t="n">
        <x:f>MAX(0,MIN(100,100-((F225-1)/(MAX($F$5:$F$265)-1))*100))</x:f>
        <x:v>13.417855256207076</x:v>
      </x:c>
      <x:c r="M225" s="83" t="n">
        <x:f>MAX(0,MIN(100,50+(('Sources &amp; Model'!$B$4-F225)/('Sources &amp; Model'!$B$6*2.5))*45))</x:f>
        <x:v>0</x:v>
      </x:c>
      <x:c r="N225" s="83" t="n">
        <x:f>IF(V225="Mine",0,IF(OR(C225="RB",C225="WR"),MAX(30,62-COUNTIFS($C$5:$C$265,C225,$V$5:$V$265,"Mine")*5),IF(OR(C225="D/ST",C225="K"),IF('Sources &amp; Model'!$B$4&gt;='Sources &amp; Model'!$B$6*('Sources &amp; Model'!$B$8-2),62,12),IF(COUNTIFS($C$5:$C$265,C225,$V$5:$V$265,"Mine")=0,82,38))))</x:f>
        <x:v>62</x:v>
      </x:c>
      <x:c r="O225" s="65" t="n">
        <x:v>62.9</x:v>
      </x:c>
      <x:c r="P225" s="83" t="n">
        <x:f>MAX(0,MIN(100,100/(1+EXP(-(('Sources &amp; Model'!$B$5-F225)/MAX(2.5,I225))))))</x:f>
        <x:v>0.0001818054192968438</x:v>
      </x:c>
      <x:c r="Q225" s="65" t="n">
        <x:v>50</x:v>
      </x:c>
      <x:c r="R225" s="65" t="n">
        <x:v>92</x:v>
      </x:c>
      <x:c r="S225" s="65" t="n">
        <x:v>41.1</x:v>
      </x:c>
      <x:c r="T225" s="65" t="n">
        <x:v>50</x:v>
      </x:c>
      <x:c r="U225" s="84" t="n">
        <x:f>IF(V225&lt;&gt;"Available","",(L225*'Sources &amp; Model'!$B$13+M225*'Sources &amp; Model'!$B$14+N225*'Sources &amp; Model'!$B$15+O225*'Sources &amp; Model'!$B$16+P225*'Sources &amp; Model'!$B$17+Q225*'Sources &amp; Model'!$B$18+R225*'Sources &amp; Model'!$B$19+S225*'Sources &amp; Model'!$B$20+T225*'Sources &amp; Model'!$B$21)/SUM('Sources &amp; Model'!$B$13:$B$21))</x:f>
        <x:v>29.412088967652334</x:v>
      </x:c>
      <x:c r="V225" s="5" t="str">
        <x:v>Available</x:v>
      </x:c>
      <x:c r="W225" t="str">
        <x:v>https://help.fantasyfootballcalculator.com/article/42-adp-rest-api</x:v>
      </x:c>
    </x:row>
    <x:row r="226">
      <x:c r="A226" s="28" t="n">
        <x:v>222</x:v>
      </x:c>
      <x:c r="B226" s="28" t="str">
        <x:v>Wil Lutz</x:v>
      </x:c>
      <x:c r="C226" s="28" t="str">
        <x:v>K</x:v>
      </x:c>
      <x:c r="D226" s="28" t="str">
        <x:v>DEN</x:v>
      </x:c>
      <x:c r="E226" s="81" t="n">
        <x:v>10</x:v>
      </x:c>
      <x:c r="F226" s="82" t="n">
        <x:v>165</x:v>
      </x:c>
      <x:c r="G226" s="82" t="n">
        <x:v>117</x:v>
      </x:c>
      <x:c r="H226" s="82" t="n">
        <x:v>209</x:v>
      </x:c>
      <x:c r="I226" s="82" t="n">
        <x:v>18.1</x:v>
      </x:c>
      <x:c r="J226" s="81" t="n">
        <x:v>79</x:v>
      </x:c>
      <x:c r="K226" s="81" t="n">
        <x:v>5</x:v>
      </x:c>
      <x:c r="L226" s="83" t="n">
        <x:f>MAX(0,MIN(100,100-((F226-1)/(MAX($F$5:$F$265)-1))*100))</x:f>
        <x:v>13.365029054410996</x:v>
      </x:c>
      <x:c r="M226" s="83" t="n">
        <x:f>MAX(0,MIN(100,50+(('Sources &amp; Model'!$B$4-F226)/('Sources &amp; Model'!$B$6*2.5))*45))</x:f>
        <x:v>0</x:v>
      </x:c>
      <x:c r="N226" s="83" t="n">
        <x:f>IF(V226="Mine",0,IF(OR(C226="RB",C226="WR"),MAX(30,62-COUNTIFS($C$5:$C$265,C226,$V$5:$V$265,"Mine")*5),IF(OR(C226="D/ST",C226="K"),IF('Sources &amp; Model'!$B$4&gt;='Sources &amp; Model'!$B$6*('Sources &amp; Model'!$B$8-2),62,12),IF(COUNTIFS($C$5:$C$265,C226,$V$5:$V$265,"Mine")=0,82,38))))</x:f>
        <x:v>12</x:v>
      </x:c>
      <x:c r="O226" s="65" t="n">
        <x:v>57.4</x:v>
      </x:c>
      <x:c r="P226" s="83" t="n">
        <x:f>MAX(0,MIN(100,100/(1+EXP(-(('Sources &amp; Model'!$B$5-F226)/MAX(2.5,I226))))))</x:f>
        <x:v>0.011611962978363291</x:v>
      </x:c>
      <x:c r="Q226" s="65" t="n">
        <x:v>68</x:v>
      </x:c>
      <x:c r="R226" s="65" t="n">
        <x:v>92</x:v>
      </x:c>
      <x:c r="S226" s="65" t="n">
        <x:v>36.9</x:v>
      </x:c>
      <x:c r="T226" s="65" t="n">
        <x:v>50</x:v>
      </x:c>
      <x:c r="U226" s="84" t="n">
        <x:f>IF(V226&lt;&gt;"Available","",(L226*'Sources &amp; Model'!$B$13+M226*'Sources &amp; Model'!$B$14+N226*'Sources &amp; Model'!$B$15+O226*'Sources &amp; Model'!$B$16+P226*'Sources &amp; Model'!$B$17+Q226*'Sources &amp; Model'!$B$18+R226*'Sources &amp; Model'!$B$19+S226*'Sources &amp; Model'!$B$20+T226*'Sources &amp; Model'!$B$21)/SUM('Sources &amp; Model'!$B$13:$B$21))</x:f>
        <x:v>22.23127107479758</x:v>
      </x:c>
      <x:c r="V226" s="5" t="str">
        <x:v>Available</x:v>
      </x:c>
      <x:c r="W226" t="str">
        <x:v>https://help.fantasyfootballcalculator.com/article/42-adp-rest-api</x:v>
      </x:c>
    </x:row>
    <x:row r="227">
      <x:c r="A227" s="28" t="n">
        <x:v>223</x:v>
      </x:c>
      <x:c r="B227" s="28" t="str">
        <x:v>Justice Hill</x:v>
      </x:c>
      <x:c r="C227" s="28" t="str">
        <x:v>RB</x:v>
      </x:c>
      <x:c r="D227" s="28" t="str">
        <x:v>BAL</x:v>
      </x:c>
      <x:c r="E227" s="81" t="n">
        <x:v>13</x:v>
      </x:c>
      <x:c r="F227" s="82" t="n">
        <x:v>165.1</x:v>
      </x:c>
      <x:c r="G227" s="82" t="n">
        <x:v>135</x:v>
      </x:c>
      <x:c r="H227" s="82" t="n">
        <x:v>202</x:v>
      </x:c>
      <x:c r="I227" s="82" t="n">
        <x:v>12.6</x:v>
      </x:c>
      <x:c r="J227" s="81" t="n">
        <x:v>24</x:v>
      </x:c>
      <x:c r="K227" s="81" t="n">
        <x:v>11</x:v>
      </x:c>
      <x:c r="L227" s="83" t="n">
        <x:f>MAX(0,MIN(100,100-((F227-1)/(MAX($F$5:$F$265)-1))*100))</x:f>
        <x:v>13.312202852614902</x:v>
      </x:c>
      <x:c r="M227" s="83" t="n">
        <x:f>MAX(0,MIN(100,50+(('Sources &amp; Model'!$B$4-F227)/('Sources &amp; Model'!$B$6*2.5))*45))</x:f>
        <x:v>0</x:v>
      </x:c>
      <x:c r="N227" s="83" t="n">
        <x:f>IF(V227="Mine",0,IF(OR(C227="RB",C227="WR"),MAX(30,62-COUNTIFS($C$5:$C$265,C227,$V$5:$V$265,"Mine")*5),IF(OR(C227="D/ST",C227="K"),IF('Sources &amp; Model'!$B$4&gt;='Sources &amp; Model'!$B$6*('Sources &amp; Model'!$B$8-2),62,12),IF(COUNTIFS($C$5:$C$265,C227,$V$5:$V$265,"Mine")=0,82,38))))</x:f>
        <x:v>62</x:v>
      </x:c>
      <x:c r="O227" s="65" t="n">
        <x:v>45.3</x:v>
      </x:c>
      <x:c r="P227" s="83" t="n">
        <x:f>MAX(0,MIN(100,100/(1+EXP(-(('Sources &amp; Model'!$B$5-F227)/MAX(2.5,I227))))))</x:f>
        <x:v>0.0002207142796934377</x:v>
      </x:c>
      <x:c r="Q227" s="65" t="n">
        <x:v>68</x:v>
      </x:c>
      <x:c r="R227" s="65" t="n">
        <x:v>92</x:v>
      </x:c>
      <x:c r="S227" s="65" t="n">
        <x:v>31.7</x:v>
      </x:c>
      <x:c r="T227" s="65" t="n">
        <x:v>50</x:v>
      </x:c>
      <x:c r="U227" s="84" t="n">
        <x:f>IF(V227&lt;&gt;"Available","",(L227*'Sources &amp; Model'!$B$13+M227*'Sources &amp; Model'!$B$14+N227*'Sources &amp; Model'!$B$15+O227*'Sources &amp; Model'!$B$16+P227*'Sources &amp; Model'!$B$17+Q227*'Sources &amp; Model'!$B$18+R227*'Sources &amp; Model'!$B$19+S227*'Sources &amp; Model'!$B$20+T227*'Sources &amp; Model'!$B$21)/SUM('Sources &amp; Model'!$B$13:$B$21))</x:f>
        <x:v>28.156171041317037</x:v>
      </x:c>
      <x:c r="V227" s="5" t="str">
        <x:v>Available</x:v>
      </x:c>
      <x:c r="W227" t="str">
        <x:v>https://help.fantasyfootballcalculator.com/article/42-adp-rest-api</x:v>
      </x:c>
    </x:row>
    <x:row r="228">
      <x:c r="A228" s="28" t="n">
        <x:v>224</x:v>
      </x:c>
      <x:c r="B228" s="28" t="str">
        <x:v>T.J. Hockenson</x:v>
      </x:c>
      <x:c r="C228" s="28" t="str">
        <x:v>TE</x:v>
      </x:c>
      <x:c r="D228" s="28" t="str">
        <x:v>MIN</x:v>
      </x:c>
      <x:c r="E228" s="81" t="n">
        <x:v>6</x:v>
      </x:c>
      <x:c r="F228" s="82" t="n">
        <x:v>165.7</x:v>
      </x:c>
      <x:c r="G228" s="82" t="n">
        <x:v>99</x:v>
      </x:c>
      <x:c r="H228" s="82" t="n">
        <x:v>209</x:v>
      </x:c>
      <x:c r="I228" s="82" t="n">
        <x:v>25.4</x:v>
      </x:c>
      <x:c r="J228" s="81" t="n">
        <x:v>40</x:v>
      </x:c>
      <x:c r="K228" s="81" t="n">
        <x:v>7</x:v>
      </x:c>
      <x:c r="L228" s="83" t="n">
        <x:f>MAX(0,MIN(100,100-((F228-1)/(MAX($F$5:$F$265)-1))*100))</x:f>
        <x:v>12.995245641838366</x:v>
      </x:c>
      <x:c r="M228" s="83" t="n">
        <x:f>MAX(0,MIN(100,50+(('Sources &amp; Model'!$B$4-F228)/('Sources &amp; Model'!$B$6*2.5))*45))</x:f>
        <x:v>0</x:v>
      </x:c>
      <x:c r="N228" s="83" t="n">
        <x:f>IF(V228="Mine",0,IF(OR(C228="RB",C228="WR"),MAX(30,62-COUNTIFS($C$5:$C$265,C228,$V$5:$V$265,"Mine")*5),IF(OR(C228="D/ST",C228="K"),IF('Sources &amp; Model'!$B$4&gt;='Sources &amp; Model'!$B$6*('Sources &amp; Model'!$B$8-2),62,12),IF(COUNTIFS($C$5:$C$265,C228,$V$5:$V$265,"Mine")=0,82,38))))</x:f>
        <x:v>82</x:v>
      </x:c>
      <x:c r="O228" s="65" t="n">
        <x:v>50.8</x:v>
      </x:c>
      <x:c r="P228" s="83" t="n">
        <x:f>MAX(0,MIN(100,100/(1+EXP(-(('Sources &amp; Model'!$B$5-F228)/MAX(2.5,I228))))))</x:f>
        <x:v>0.1524973713419553</x:v>
      </x:c>
      <x:c r="Q228" s="65" t="n">
        <x:v>90</x:v>
      </x:c>
      <x:c r="R228" s="65" t="n">
        <x:v>92</x:v>
      </x:c>
      <x:c r="S228" s="65" t="n">
        <x:v>53.6</x:v>
      </x:c>
      <x:c r="T228" s="65" t="n">
        <x:v>50</x:v>
      </x:c>
      <x:c r="U228" s="84" t="n">
        <x:f>IF(V228&lt;&gt;"Available","",(L228*'Sources &amp; Model'!$B$13+M228*'Sources &amp; Model'!$B$14+N228*'Sources &amp; Model'!$B$15+O228*'Sources &amp; Model'!$B$16+P228*'Sources &amp; Model'!$B$17+Q228*'Sources &amp; Model'!$B$18+R228*'Sources &amp; Model'!$B$19+S228*'Sources &amp; Model'!$B$20+T228*'Sources &amp; Model'!$B$21)/SUM('Sources &amp; Model'!$B$13:$B$21))</x:f>
        <x:v>33.48163325535924</x:v>
      </x:c>
      <x:c r="V228" s="5" t="str">
        <x:v>Available</x:v>
      </x:c>
      <x:c r="W228" t="str">
        <x:v>https://help.fantasyfootballcalculator.com/article/42-adp-rest-api</x:v>
      </x:c>
    </x:row>
    <x:row r="229">
      <x:c r="A229" s="28" t="n">
        <x:v>225</x:v>
      </x:c>
      <x:c r="B229" s="28" t="str">
        <x:v>Tyler Allgeier</x:v>
      </x:c>
      <x:c r="C229" s="28" t="str">
        <x:v>RB</x:v>
      </x:c>
      <x:c r="D229" s="28" t="str">
        <x:v>ARI</x:v>
      </x:c>
      <x:c r="E229" s="81" t="n">
        <x:v>14</x:v>
      </x:c>
      <x:c r="F229" s="82" t="n">
        <x:v>165.7</x:v>
      </x:c>
      <x:c r="G229" s="82" t="n">
        <x:v>114</x:v>
      </x:c>
      <x:c r="H229" s="82" t="n">
        <x:v>208</x:v>
      </x:c>
      <x:c r="I229" s="82" t="n">
        <x:v>19.9</x:v>
      </x:c>
      <x:c r="J229" s="81" t="n">
        <x:v>96</x:v>
      </x:c>
      <x:c r="K229" s="81" t="n">
        <x:v>11</x:v>
      </x:c>
      <x:c r="L229" s="83" t="n">
        <x:f>MAX(0,MIN(100,100-((F229-1)/(MAX($F$5:$F$265)-1))*100))</x:f>
        <x:v>12.995245641838366</x:v>
      </x:c>
      <x:c r="M229" s="83" t="n">
        <x:f>MAX(0,MIN(100,50+(('Sources &amp; Model'!$B$4-F229)/('Sources &amp; Model'!$B$6*2.5))*45))</x:f>
        <x:v>0</x:v>
      </x:c>
      <x:c r="N229" s="83" t="n">
        <x:f>IF(V229="Mine",0,IF(OR(C229="RB",C229="WR"),MAX(30,62-COUNTIFS($C$5:$C$265,C229,$V$5:$V$265,"Mine")*5),IF(OR(C229="D/ST",C229="K"),IF('Sources &amp; Model'!$B$4&gt;='Sources &amp; Model'!$B$6*('Sources &amp; Model'!$B$8-2),62,12),IF(COUNTIFS($C$5:$C$265,C229,$V$5:$V$265,"Mine")=0,82,38))))</x:f>
        <x:v>62</x:v>
      </x:c>
      <x:c r="O229" s="65" t="n">
        <x:v>43.1</x:v>
      </x:c>
      <x:c r="P229" s="83" t="n">
        <x:f>MAX(0,MIN(100,100/(1+EXP(-(('Sources &amp; Model'!$B$5-F229)/MAX(2.5,I229))))))</x:f>
        <x:v>0.025439145055771776</x:v>
      </x:c>
      <x:c r="Q229" s="65" t="n">
        <x:v>68</x:v>
      </x:c>
      <x:c r="R229" s="65" t="n">
        <x:v>92</x:v>
      </x:c>
      <x:c r="S229" s="65" t="n">
        <x:v>51.8</x:v>
      </x:c>
      <x:c r="T229" s="65" t="n">
        <x:v>49.7</x:v>
      </x:c>
      <x:c r="U229" s="84" t="n">
        <x:f>IF(V229&lt;&gt;"Available","",(L229*'Sources &amp; Model'!$B$13+M229*'Sources &amp; Model'!$B$14+N229*'Sources &amp; Model'!$B$15+O229*'Sources &amp; Model'!$B$16+P229*'Sources &amp; Model'!$B$17+Q229*'Sources &amp; Model'!$B$18+R229*'Sources &amp; Model'!$B$19+S229*'Sources &amp; Model'!$B$20+T229*'Sources &amp; Model'!$B$21)/SUM('Sources &amp; Model'!$B$13:$B$21))</x:f>
        <x:v>28.18592743273062</x:v>
      </x:c>
      <x:c r="V229" s="5" t="str">
        <x:v>Available</x:v>
      </x:c>
      <x:c r="W229" t="str">
        <x:v>https://help.fantasyfootballcalculator.com/article/42-adp-rest-api</x:v>
      </x:c>
    </x:row>
    <x:row r="230">
      <x:c r="A230" s="28" t="n">
        <x:v>226</x:v>
      </x:c>
      <x:c r="B230" s="28" t="str">
        <x:v>Jaydon Blue</x:v>
      </x:c>
      <x:c r="C230" s="28" t="str">
        <x:v>RB</x:v>
      </x:c>
      <x:c r="D230" s="28" t="str">
        <x:v>DAL</x:v>
      </x:c>
      <x:c r="E230" s="81" t="n">
        <x:v>14</x:v>
      </x:c>
      <x:c r="F230" s="82" t="n">
        <x:v>165.9</x:v>
      </x:c>
      <x:c r="G230" s="82" t="n">
        <x:v>128</x:v>
      </x:c>
      <x:c r="H230" s="82" t="n">
        <x:v>186</x:v>
      </x:c>
      <x:c r="I230" s="82" t="n">
        <x:v>14.5</x:v>
      </x:c>
      <x:c r="J230" s="81" t="n">
        <x:v>14</x:v>
      </x:c>
      <x:c r="K230" s="81" t="n">
        <x:v>11</x:v>
      </x:c>
      <x:c r="L230" s="83" t="n">
        <x:f>MAX(0,MIN(100,100-((F230-1)/(MAX($F$5:$F$265)-1))*100))</x:f>
        <x:v>12.889593238246178</x:v>
      </x:c>
      <x:c r="M230" s="83" t="n">
        <x:f>MAX(0,MIN(100,50+(('Sources &amp; Model'!$B$4-F230)/('Sources &amp; Model'!$B$6*2.5))*45))</x:f>
        <x:v>0</x:v>
      </x:c>
      <x:c r="N230" s="83" t="n">
        <x:f>IF(V230="Mine",0,IF(OR(C230="RB",C230="WR"),MAX(30,62-COUNTIFS($C$5:$C$265,C230,$V$5:$V$265,"Mine")*5),IF(OR(C230="D/ST",C230="K"),IF('Sources &amp; Model'!$B$4&gt;='Sources &amp; Model'!$B$6*('Sources &amp; Model'!$B$8-2),62,12),IF(COUNTIFS($C$5:$C$265,C230,$V$5:$V$265,"Mine")=0,82,38))))</x:f>
        <x:v>62</x:v>
      </x:c>
      <x:c r="O230" s="65" t="n">
        <x:v>54.6</x:v>
      </x:c>
      <x:c r="P230" s="83" t="n">
        <x:f>MAX(0,MIN(100,100/(1+EXP(-(('Sources &amp; Model'!$B$5-F230)/MAX(2.5,I230))))))</x:f>
        <x:v>0.0011508492675075873</x:v>
      </x:c>
      <x:c r="Q230" s="65" t="n">
        <x:v>50</x:v>
      </x:c>
      <x:c r="R230" s="65" t="n">
        <x:v>92</x:v>
      </x:c>
      <x:c r="S230" s="65" t="n">
        <x:v>32.6</x:v>
      </x:c>
      <x:c r="T230" s="65" t="n">
        <x:v>50</x:v>
      </x:c>
      <x:c r="U230" s="84" t="n">
        <x:f>IF(V230&lt;&gt;"Available","",(L230*'Sources &amp; Model'!$B$13+M230*'Sources &amp; Model'!$B$14+N230*'Sources &amp; Model'!$B$15+O230*'Sources &amp; Model'!$B$16+P230*'Sources &amp; Model'!$B$17+Q230*'Sources &amp; Model'!$B$18+R230*'Sources &amp; Model'!$B$19+S230*'Sources &amp; Model'!$B$20+T230*'Sources &amp; Model'!$B$21)/SUM('Sources &amp; Model'!$B$13:$B$21))</x:f>
        <x:v>28.066576785930447</x:v>
      </x:c>
      <x:c r="V230" s="5" t="str">
        <x:v>Available</x:v>
      </x:c>
      <x:c r="W230" t="str">
        <x:v>https://help.fantasyfootballcalculator.com/article/42-adp-rest-api</x:v>
      </x:c>
    </x:row>
    <x:row r="231">
      <x:c r="A231" s="28" t="n">
        <x:v>227</x:v>
      </x:c>
      <x:c r="B231" s="28" t="str">
        <x:v>Jacoby Brissett</x:v>
      </x:c>
      <x:c r="C231" s="28" t="str">
        <x:v>QB</x:v>
      </x:c>
      <x:c r="D231" s="28" t="str">
        <x:v>ARI</x:v>
      </x:c>
      <x:c r="E231" s="81" t="n">
        <x:v>14</x:v>
      </x:c>
      <x:c r="F231" s="82" t="n">
        <x:v>166</x:v>
      </x:c>
      <x:c r="G231" s="82" t="n">
        <x:v>139</x:v>
      </x:c>
      <x:c r="H231" s="82" t="n">
        <x:v>180</x:v>
      </x:c>
      <x:c r="I231" s="82" t="n">
        <x:v>13.2</x:v>
      </x:c>
      <x:c r="J231" s="81" t="n">
        <x:v>23</x:v>
      </x:c>
      <x:c r="K231" s="81" t="n">
        <x:v>7</x:v>
      </x:c>
      <x:c r="L231" s="83" t="n">
        <x:f>MAX(0,MIN(100,100-((F231-1)/(MAX($F$5:$F$265)-1))*100))</x:f>
        <x:v>12.836767036450084</x:v>
      </x:c>
      <x:c r="M231" s="83" t="n">
        <x:f>MAX(0,MIN(100,50+(('Sources &amp; Model'!$B$4-F231)/('Sources &amp; Model'!$B$6*2.5))*45))</x:f>
        <x:v>0</x:v>
      </x:c>
      <x:c r="N231" s="83" t="n">
        <x:f>IF(V231="Mine",0,IF(OR(C231="RB",C231="WR"),MAX(30,62-COUNTIFS($C$5:$C$265,C231,$V$5:$V$265,"Mine")*5),IF(OR(C231="D/ST",C231="K"),IF('Sources &amp; Model'!$B$4&gt;='Sources &amp; Model'!$B$6*('Sources &amp; Model'!$B$8-2),62,12),IF(COUNTIFS($C$5:$C$265,C231,$V$5:$V$265,"Mine")=0,82,38))))</x:f>
        <x:v>82</x:v>
      </x:c>
      <x:c r="O231" s="65" t="n">
        <x:v>49.2</x:v>
      </x:c>
      <x:c r="P231" s="83" t="n">
        <x:f>MAX(0,MIN(100,100/(1+EXP(-(('Sources &amp; Model'!$B$5-F231)/MAX(2.5,I231))))))</x:f>
        <x:v>0.0003726639284186561</x:v>
      </x:c>
      <x:c r="Q231" s="65" t="n">
        <x:v>90</x:v>
      </x:c>
      <x:c r="R231" s="65" t="n">
        <x:v>92</x:v>
      </x:c>
      <x:c r="S231" s="65" t="n">
        <x:v>51.8</x:v>
      </x:c>
      <x:c r="T231" s="65" t="n">
        <x:v>49.5</x:v>
      </x:c>
      <x:c r="U231" s="84" t="n">
        <x:f>IF(V231&lt;&gt;"Available","",(L231*'Sources &amp; Model'!$B$13+M231*'Sources &amp; Model'!$B$14+N231*'Sources &amp; Model'!$B$15+O231*'Sources &amp; Model'!$B$16+P231*'Sources &amp; Model'!$B$17+Q231*'Sources &amp; Model'!$B$18+R231*'Sources &amp; Model'!$B$19+S231*'Sources &amp; Model'!$B$20+T231*'Sources &amp; Model'!$B$21)/SUM('Sources &amp; Model'!$B$13:$B$21))</x:f>
        <x:v>33.17953805878587</x:v>
      </x:c>
      <x:c r="V231" s="5" t="str">
        <x:v>Available</x:v>
      </x:c>
      <x:c r="W231" t="str">
        <x:v>https://help.fantasyfootballcalculator.com/article/42-adp-rest-api</x:v>
      </x:c>
    </x:row>
    <x:row r="232">
      <x:c r="A232" s="28" t="n">
        <x:v>228</x:v>
      </x:c>
      <x:c r="B232" s="28" t="str">
        <x:v>ATL Defense</x:v>
      </x:c>
      <x:c r="C232" s="28" t="str">
        <x:v>D/ST</x:v>
      </x:c>
      <x:c r="D232" s="28" t="str">
        <x:v>ATL</x:v>
      </x:c>
      <x:c r="E232" s="81" t="n">
        <x:v>11</x:v>
      </x:c>
      <x:c r="F232" s="82" t="n">
        <x:v>166.9</x:v>
      </x:c>
      <x:c r="G232" s="82" t="n">
        <x:v>141</x:v>
      </x:c>
      <x:c r="H232" s="82" t="n">
        <x:v>202</x:v>
      </x:c>
      <x:c r="I232" s="82" t="n">
        <x:v>12.1</x:v>
      </x:c>
      <x:c r="J232" s="81" t="n">
        <x:v>123</x:v>
      </x:c>
      <x:c r="K232" s="81" t="n">
        <x:v>5</x:v>
      </x:c>
      <x:c r="L232" s="83" t="n">
        <x:f>MAX(0,MIN(100,100-((F232-1)/(MAX($F$5:$F$265)-1))*100))</x:f>
        <x:v>12.361331220285265</x:v>
      </x:c>
      <x:c r="M232" s="83" t="n">
        <x:f>MAX(0,MIN(100,50+(('Sources &amp; Model'!$B$4-F232)/('Sources &amp; Model'!$B$6*2.5))*45))</x:f>
        <x:v>0</x:v>
      </x:c>
      <x:c r="N232" s="83" t="n">
        <x:f>IF(V232="Mine",0,IF(OR(C232="RB",C232="WR"),MAX(30,62-COUNTIFS($C$5:$C$265,C232,$V$5:$V$265,"Mine")*5),IF(OR(C232="D/ST",C232="K"),IF('Sources &amp; Model'!$B$4&gt;='Sources &amp; Model'!$B$6*('Sources &amp; Model'!$B$8-2),62,12),IF(COUNTIFS($C$5:$C$265,C232,$V$5:$V$265,"Mine")=0,82,38))))</x:f>
        <x:v>12</x:v>
      </x:c>
      <x:c r="O232" s="65" t="n">
        <x:v>52.5</x:v>
      </x:c>
      <x:c r="P232" s="83" t="n">
        <x:f>MAX(0,MIN(100,100/(1+EXP(-(('Sources &amp; Model'!$B$5-F232)/MAX(2.5,I232))))))</x:f>
        <x:v>0.00011104503412250605</x:v>
      </x:c>
      <x:c r="Q232" s="65" t="n">
        <x:v>68</x:v>
      </x:c>
      <x:c r="R232" s="65" t="n">
        <x:v>92</x:v>
      </x:c>
      <x:c r="S232" s="65" t="n">
        <x:v>42.1</x:v>
      </x:c>
      <x:c r="T232" s="65" t="n">
        <x:v>50</x:v>
      </x:c>
      <x:c r="U232" s="84" t="n">
        <x:f>IF(V232&lt;&gt;"Available","",(L232*'Sources &amp; Model'!$B$13+M232*'Sources &amp; Model'!$B$14+N232*'Sources &amp; Model'!$B$15+O232*'Sources &amp; Model'!$B$16+P232*'Sources &amp; Model'!$B$17+Q232*'Sources &amp; Model'!$B$18+R232*'Sources &amp; Model'!$B$19+S232*'Sources &amp; Model'!$B$20+T232*'Sources &amp; Model'!$B$21)/SUM('Sources &amp; Model'!$B$13:$B$21))</x:f>
        <x:v>21.4048637194004</x:v>
      </x:c>
      <x:c r="V232" s="5" t="str">
        <x:v>Available</x:v>
      </x:c>
      <x:c r="W232" t="str">
        <x:v>https://help.fantasyfootballcalculator.com/article/42-adp-rest-api</x:v>
      </x:c>
    </x:row>
    <x:row r="233">
      <x:c r="A233" s="28" t="n">
        <x:v>229</x:v>
      </x:c>
      <x:c r="B233" s="28" t="str">
        <x:v>Aaron Rodgers</x:v>
      </x:c>
      <x:c r="C233" s="28" t="str">
        <x:v>QB</x:v>
      </x:c>
      <x:c r="D233" s="28" t="str">
        <x:v>PIT</x:v>
      </x:c>
      <x:c r="E233" s="81" t="n">
        <x:v>9</x:v>
      </x:c>
      <x:c r="F233" s="82" t="n">
        <x:v>167.3</x:v>
      </x:c>
      <x:c r="G233" s="82" t="n">
        <x:v>88</x:v>
      </x:c>
      <x:c r="H233" s="82" t="n">
        <x:v>206</x:v>
      </x:c>
      <x:c r="I233" s="82" t="n">
        <x:v>30.4</x:v>
      </x:c>
      <x:c r="J233" s="81" t="n">
        <x:v>19</x:v>
      </x:c>
      <x:c r="K233" s="81" t="n">
        <x:v>7</x:v>
      </x:c>
      <x:c r="L233" s="83" t="n">
        <x:f>MAX(0,MIN(100,100-((F233-1)/(MAX($F$5:$F$265)-1))*100))</x:f>
        <x:v>12.150026413100903</x:v>
      </x:c>
      <x:c r="M233" s="83" t="n">
        <x:f>MAX(0,MIN(100,50+(('Sources &amp; Model'!$B$4-F233)/('Sources &amp; Model'!$B$6*2.5))*45))</x:f>
        <x:v>0</x:v>
      </x:c>
      <x:c r="N233" s="83" t="n">
        <x:f>IF(V233="Mine",0,IF(OR(C233="RB",C233="WR"),MAX(30,62-COUNTIFS($C$5:$C$265,C233,$V$5:$V$265,"Mine")*5),IF(OR(C233="D/ST",C233="K"),IF('Sources &amp; Model'!$B$4&gt;='Sources &amp; Model'!$B$6*('Sources &amp; Model'!$B$8-2),62,12),IF(COUNTIFS($C$5:$C$265,C233,$V$5:$V$265,"Mine")=0,82,38))))</x:f>
        <x:v>82</x:v>
      </x:c>
      <x:c r="O233" s="65" t="n">
        <x:v>42.5</x:v>
      </x:c>
      <x:c r="P233" s="83" t="n">
        <x:f>MAX(0,MIN(100,100/(1+EXP(-(('Sources &amp; Model'!$B$5-F233)/MAX(2.5,I233))))))</x:f>
        <x:v>0.4191923959558667</x:v>
      </x:c>
      <x:c r="Q233" s="65" t="n">
        <x:v>90</x:v>
      </x:c>
      <x:c r="R233" s="65" t="n">
        <x:v>92</x:v>
      </x:c>
      <x:c r="S233" s="65" t="n">
        <x:v>33.7</x:v>
      </x:c>
      <x:c r="T233" s="65" t="n">
        <x:v>49.6</x:v>
      </x:c>
      <x:c r="U233" s="84" t="n">
        <x:f>IF(V233&lt;&gt;"Available","",(L233*'Sources &amp; Model'!$B$13+M233*'Sources &amp; Model'!$B$14+N233*'Sources &amp; Model'!$B$15+O233*'Sources &amp; Model'!$B$16+P233*'Sources &amp; Model'!$B$17+Q233*'Sources &amp; Model'!$B$18+R233*'Sources &amp; Model'!$B$19+S233*'Sources &amp; Model'!$B$20+T233*'Sources &amp; Model'!$B$21)/SUM('Sources &amp; Model'!$B$13:$B$21))</x:f>
        <x:v>31.822928220049892</x:v>
      </x:c>
      <x:c r="V233" s="5" t="str">
        <x:v>Available</x:v>
      </x:c>
      <x:c r="W233" t="str">
        <x:v>https://help.fantasyfootballcalculator.com/article/42-adp-rest-api</x:v>
      </x:c>
    </x:row>
    <x:row r="234">
      <x:c r="A234" s="28" t="n">
        <x:v>230</x:v>
      </x:c>
      <x:c r="B234" s="28" t="str">
        <x:v>Kenyon Sadiq</x:v>
      </x:c>
      <x:c r="C234" s="28" t="str">
        <x:v>TE</x:v>
      </x:c>
      <x:c r="D234" s="28" t="str">
        <x:v>NYJ</x:v>
      </x:c>
      <x:c r="E234" s="81" t="n">
        <x:v>13</x:v>
      </x:c>
      <x:c r="F234" s="82" t="n">
        <x:v>167.3</x:v>
      </x:c>
      <x:c r="G234" s="82" t="n">
        <x:v>125</x:v>
      </x:c>
      <x:c r="H234" s="82" t="n">
        <x:v>201</x:v>
      </x:c>
      <x:c r="I234" s="82" t="n">
        <x:v>18.7</x:v>
      </x:c>
      <x:c r="J234" s="81" t="n">
        <x:v>25</x:v>
      </x:c>
      <x:c r="K234" s="81" t="n">
        <x:v>7</x:v>
      </x:c>
      <x:c r="L234" s="83" t="n">
        <x:f>MAX(0,MIN(100,100-((F234-1)/(MAX($F$5:$F$265)-1))*100))</x:f>
        <x:v>12.150026413100903</x:v>
      </x:c>
      <x:c r="M234" s="83" t="n">
        <x:f>MAX(0,MIN(100,50+(('Sources &amp; Model'!$B$4-F234)/('Sources &amp; Model'!$B$6*2.5))*45))</x:f>
        <x:v>0</x:v>
      </x:c>
      <x:c r="N234" s="83" t="n">
        <x:f>IF(V234="Mine",0,IF(OR(C234="RB",C234="WR"),MAX(30,62-COUNTIFS($C$5:$C$265,C234,$V$5:$V$265,"Mine")*5),IF(OR(C234="D/ST",C234="K"),IF('Sources &amp; Model'!$B$4&gt;='Sources &amp; Model'!$B$6*('Sources &amp; Model'!$B$8-2),62,12),IF(COUNTIFS($C$5:$C$265,C234,$V$5:$V$265,"Mine")=0,82,38))))</x:f>
        <x:v>82</x:v>
      </x:c>
      <x:c r="O234" s="65" t="n">
        <x:v>45.3</x:v>
      </x:c>
      <x:c r="P234" s="83" t="n">
        <x:f>MAX(0,MIN(100,100/(1+EXP(-(('Sources &amp; Model'!$B$5-F234)/MAX(2.5,I234))))))</x:f>
        <x:v>0.013732152839036069</x:v>
      </x:c>
      <x:c r="Q234" s="65" t="n">
        <x:v>90</x:v>
      </x:c>
      <x:c r="R234" s="65" t="n">
        <x:v>52</x:v>
      </x:c>
      <x:c r="S234" s="65" t="n">
        <x:v>50.9</x:v>
      </x:c>
      <x:c r="T234" s="65" t="n">
        <x:v>50</x:v>
      </x:c>
      <x:c r="U234" s="84" t="n">
        <x:f>IF(V234&lt;&gt;"Available","",(L234*'Sources &amp; Model'!$B$13+M234*'Sources &amp; Model'!$B$14+N234*'Sources &amp; Model'!$B$15+O234*'Sources &amp; Model'!$B$16+P234*'Sources &amp; Model'!$B$17+Q234*'Sources &amp; Model'!$B$18+R234*'Sources &amp; Model'!$B$19+S234*'Sources &amp; Model'!$B$20+T234*'Sources &amp; Model'!$B$21)/SUM('Sources &amp; Model'!$B$13:$B$21))</x:f>
        <x:v>30.86638219573821</x:v>
      </x:c>
      <x:c r="V234" s="5" t="str">
        <x:v>Available</x:v>
      </x:c>
      <x:c r="W234" t="str">
        <x:v>https://help.fantasyfootballcalculator.com/article/42-adp-rest-api</x:v>
      </x:c>
    </x:row>
    <x:row r="235">
      <x:c r="A235" s="28" t="n">
        <x:v>231</x:v>
      </x:c>
      <x:c r="B235" s="28" t="str">
        <x:v>Fernando Mendoza</x:v>
      </x:c>
      <x:c r="C235" s="28" t="str">
        <x:v>QB</x:v>
      </x:c>
      <x:c r="D235" s="28" t="str">
        <x:v>LV</x:v>
      </x:c>
      <x:c r="E235" s="81" t="n">
        <x:v>13</x:v>
      </x:c>
      <x:c r="F235" s="82" t="n">
        <x:v>167.4</x:v>
      </x:c>
      <x:c r="G235" s="82" t="n">
        <x:v>137</x:v>
      </x:c>
      <x:c r="H235" s="82" t="n">
        <x:v>209</x:v>
      </x:c>
      <x:c r="I235" s="82" t="n">
        <x:v>18.7</x:v>
      </x:c>
      <x:c r="J235" s="81" t="n">
        <x:v>13</x:v>
      </x:c>
      <x:c r="K235" s="81" t="n">
        <x:v>7</x:v>
      </x:c>
      <x:c r="L235" s="83" t="n">
        <x:f>MAX(0,MIN(100,100-((F235-1)/(MAX($F$5:$F$265)-1))*100))</x:f>
        <x:v>12.09720021130481</x:v>
      </x:c>
      <x:c r="M235" s="83" t="n">
        <x:f>MAX(0,MIN(100,50+(('Sources &amp; Model'!$B$4-F235)/('Sources &amp; Model'!$B$6*2.5))*45))</x:f>
        <x:v>0</x:v>
      </x:c>
      <x:c r="N235" s="83" t="n">
        <x:f>IF(V235="Mine",0,IF(OR(C235="RB",C235="WR"),MAX(30,62-COUNTIFS($C$5:$C$265,C235,$V$5:$V$265,"Mine")*5),IF(OR(C235="D/ST",C235="K"),IF('Sources &amp; Model'!$B$4&gt;='Sources &amp; Model'!$B$6*('Sources &amp; Model'!$B$8-2),62,12),IF(COUNTIFS($C$5:$C$265,C235,$V$5:$V$265,"Mine")=0,82,38))))</x:f>
        <x:v>82</x:v>
      </x:c>
      <x:c r="O235" s="65" t="n">
        <x:v>60.1</x:v>
      </x:c>
      <x:c r="P235" s="83" t="n">
        <x:f>MAX(0,MIN(100,100/(1+EXP(-(('Sources &amp; Model'!$B$5-F235)/MAX(2.5,I235))))))</x:f>
        <x:v>0.013658924868146344</x:v>
      </x:c>
      <x:c r="Q235" s="65" t="n">
        <x:v>90</x:v>
      </x:c>
      <x:c r="R235" s="65" t="n">
        <x:v>92</x:v>
      </x:c>
      <x:c r="S235" s="65" t="n">
        <x:v>58.4</x:v>
      </x:c>
      <x:c r="T235" s="65" t="n">
        <x:v>50</x:v>
      </x:c>
      <x:c r="U235" s="84" t="n">
        <x:f>IF(V235&lt;&gt;"Available","",(L235*'Sources &amp; Model'!$B$13+M235*'Sources &amp; Model'!$B$14+N235*'Sources &amp; Model'!$B$15+O235*'Sources &amp; Model'!$B$16+P235*'Sources &amp; Model'!$B$17+Q235*'Sources &amp; Model'!$B$18+R235*'Sources &amp; Model'!$B$19+S235*'Sources &amp; Model'!$B$20+T235*'Sources &amp; Model'!$B$21)/SUM('Sources &amp; Model'!$B$13:$B$21))</x:f>
        <x:v>34.37441396433046</x:v>
      </x:c>
      <x:c r="V235" s="5" t="str">
        <x:v>Available</x:v>
      </x:c>
      <x:c r="W235" t="str">
        <x:v>https://help.fantasyfootballcalculator.com/article/42-adp-rest-api</x:v>
      </x:c>
    </x:row>
    <x:row r="236">
      <x:c r="A236" s="28" t="n">
        <x:v>232</x:v>
      </x:c>
      <x:c r="B236" s="28" t="str">
        <x:v>Tyler Bass</x:v>
      </x:c>
      <x:c r="C236" s="28" t="str">
        <x:v>K</x:v>
      </x:c>
      <x:c r="D236" s="28" t="str">
        <x:v>BUF</x:v>
      </x:c>
      <x:c r="E236" s="81" t="n">
        <x:v>7</x:v>
      </x:c>
      <x:c r="F236" s="82" t="n">
        <x:v>167.8</x:v>
      </x:c>
      <x:c r="G236" s="82" t="n">
        <x:v>141</x:v>
      </x:c>
      <x:c r="H236" s="82" t="n">
        <x:v>209</x:v>
      </x:c>
      <x:c r="I236" s="82" t="n">
        <x:v>22.1</x:v>
      </x:c>
      <x:c r="J236" s="81" t="n">
        <x:v>12</x:v>
      </x:c>
      <x:c r="K236" s="81" t="n">
        <x:v>5</x:v>
      </x:c>
      <x:c r="L236" s="83" t="n">
        <x:f>MAX(0,MIN(100,100-((F236-1)/(MAX($F$5:$F$265)-1))*100))</x:f>
        <x:v>11.885895404120433</x:v>
      </x:c>
      <x:c r="M236" s="83" t="n">
        <x:f>MAX(0,MIN(100,50+(('Sources &amp; Model'!$B$4-F236)/('Sources &amp; Model'!$B$6*2.5))*45))</x:f>
        <x:v>0</x:v>
      </x:c>
      <x:c r="N236" s="83" t="n">
        <x:f>IF(V236="Mine",0,IF(OR(C236="RB",C236="WR"),MAX(30,62-COUNTIFS($C$5:$C$265,C236,$V$5:$V$265,"Mine")*5),IF(OR(C236="D/ST",C236="K"),IF('Sources &amp; Model'!$B$4&gt;='Sources &amp; Model'!$B$6*('Sources &amp; Model'!$B$8-2),62,12),IF(COUNTIFS($C$5:$C$265,C236,$V$5:$V$265,"Mine")=0,82,38))))</x:f>
        <x:v>12</x:v>
      </x:c>
      <x:c r="O236" s="65" t="n">
        <x:v>61.3</x:v>
      </x:c>
      <x:c r="P236" s="83" t="n">
        <x:f>MAX(0,MIN(100,100/(1+EXP(-(('Sources &amp; Model'!$B$5-F236)/MAX(2.5,I236))))))</x:f>
        <x:v>0.052714305520304865</x:v>
      </x:c>
      <x:c r="Q236" s="65" t="n">
        <x:v>68</x:v>
      </x:c>
      <x:c r="R236" s="65" t="n">
        <x:v>92</x:v>
      </x:c>
      <x:c r="S236" s="65" t="n">
        <x:v>30.8</x:v>
      </x:c>
      <x:c r="T236" s="65" t="n">
        <x:v>50</x:v>
      </x:c>
      <x:c r="U236" s="84" t="n">
        <x:f>IF(V236&lt;&gt;"Available","",(L236*'Sources &amp; Model'!$B$13+M236*'Sources &amp; Model'!$B$14+N236*'Sources &amp; Model'!$B$15+O236*'Sources &amp; Model'!$B$16+P236*'Sources &amp; Model'!$B$17+Q236*'Sources &amp; Model'!$B$18+R236*'Sources &amp; Model'!$B$19+S236*'Sources &amp; Model'!$B$20+T236*'Sources &amp; Model'!$B$21)/SUM('Sources &amp; Model'!$B$13:$B$21))</x:f>
        <x:v>22.078475867952974</x:v>
      </x:c>
      <x:c r="V236" s="5" t="str">
        <x:v>Available</x:v>
      </x:c>
      <x:c r="W236" t="str">
        <x:v>https://help.fantasyfootballcalculator.com/article/42-adp-rest-api</x:v>
      </x:c>
    </x:row>
    <x:row r="237">
      <x:c r="A237" s="28" t="n">
        <x:v>233</x:v>
      </x:c>
      <x:c r="B237" s="28" t="str">
        <x:v>Greg Dulcich</x:v>
      </x:c>
      <x:c r="C237" s="28" t="str">
        <x:v>TE</x:v>
      </x:c>
      <x:c r="D237" s="28" t="str">
        <x:v>MIA</x:v>
      </x:c>
      <x:c r="E237" s="81" t="n">
        <x:v>6</x:v>
      </x:c>
      <x:c r="F237" s="82" t="n">
        <x:v>167.9</x:v>
      </x:c>
      <x:c r="G237" s="82" t="n">
        <x:v>113</x:v>
      </x:c>
      <x:c r="H237" s="82" t="n">
        <x:v>206</x:v>
      </x:c>
      <x:c r="I237" s="82" t="n">
        <x:v>21.7</x:v>
      </x:c>
      <x:c r="J237" s="81" t="n">
        <x:v>24</x:v>
      </x:c>
      <x:c r="K237" s="81" t="n">
        <x:v>7</x:v>
      </x:c>
      <x:c r="L237" s="83" t="n">
        <x:f>MAX(0,MIN(100,100-((F237-1)/(MAX($F$5:$F$265)-1))*100))</x:f>
        <x:v>11.833069202324353</x:v>
      </x:c>
      <x:c r="M237" s="83" t="n">
        <x:f>MAX(0,MIN(100,50+(('Sources &amp; Model'!$B$4-F237)/('Sources &amp; Model'!$B$6*2.5))*45))</x:f>
        <x:v>0</x:v>
      </x:c>
      <x:c r="N237" s="83" t="n">
        <x:f>IF(V237="Mine",0,IF(OR(C237="RB",C237="WR"),MAX(30,62-COUNTIFS($C$5:$C$265,C237,$V$5:$V$265,"Mine")*5),IF(OR(C237="D/ST",C237="K"),IF('Sources &amp; Model'!$B$4&gt;='Sources &amp; Model'!$B$6*('Sources &amp; Model'!$B$8-2),62,12),IF(COUNTIFS($C$5:$C$265,C237,$V$5:$V$265,"Mine")=0,82,38))))</x:f>
        <x:v>82</x:v>
      </x:c>
      <x:c r="O237" s="65" t="n">
        <x:v>98.6</x:v>
      </x:c>
      <x:c r="P237" s="83" t="n">
        <x:f>MAX(0,MIN(100,100/(1+EXP(-(('Sources &amp; Model'!$B$5-F237)/MAX(2.5,I237))))))</x:f>
        <x:v>0.045660085800029865</x:v>
      </x:c>
      <x:c r="Q237" s="65" t="n">
        <x:v>90</x:v>
      </x:c>
      <x:c r="R237" s="65" t="n">
        <x:v>92</x:v>
      </x:c>
      <x:c r="S237" s="65" t="n">
        <x:v>50.9</x:v>
      </x:c>
      <x:c r="T237" s="65" t="n">
        <x:v>50</x:v>
      </x:c>
      <x:c r="U237" s="84" t="n">
        <x:f>IF(V237&lt;&gt;"Available","",(L237*'Sources &amp; Model'!$B$13+M237*'Sources &amp; Model'!$B$14+N237*'Sources &amp; Model'!$B$15+O237*'Sources &amp; Model'!$B$16+P237*'Sources &amp; Model'!$B$17+Q237*'Sources &amp; Model'!$B$18+R237*'Sources &amp; Model'!$B$19+S237*'Sources &amp; Model'!$B$20+T237*'Sources &amp; Model'!$B$21)/SUM('Sources &amp; Model'!$B$13:$B$21))</x:f>
        <x:v>38.757809537370285</x:v>
      </x:c>
      <x:c r="V237" s="5" t="str">
        <x:v>Available</x:v>
      </x:c>
      <x:c r="W237" t="str">
        <x:v>https://help.fantasyfootballcalculator.com/article/42-adp-rest-api</x:v>
      </x:c>
    </x:row>
    <x:row r="238">
      <x:c r="A238" s="28" t="n">
        <x:v>234</x:v>
      </x:c>
      <x:c r="B238" s="28" t="str">
        <x:v>Emari Demercado</x:v>
      </x:c>
      <x:c r="C238" s="28" t="str">
        <x:v>RB</x:v>
      </x:c>
      <x:c r="D238" s="28" t="str">
        <x:v>KC</x:v>
      </x:c>
      <x:c r="E238" s="81" t="n">
        <x:v>5</x:v>
      </x:c>
      <x:c r="F238" s="82" t="n">
        <x:v>168.2</x:v>
      </x:c>
      <x:c r="G238" s="82" t="n">
        <x:v>142</x:v>
      </x:c>
      <x:c r="H238" s="82" t="n">
        <x:v>205</x:v>
      </x:c>
      <x:c r="I238" s="82" t="n">
        <x:v>21.2</x:v>
      </x:c>
      <x:c r="J238" s="81" t="n">
        <x:v>6</x:v>
      </x:c>
      <x:c r="K238" s="81" t="n">
        <x:v>11</x:v>
      </x:c>
      <x:c r="L238" s="83" t="n">
        <x:f>MAX(0,MIN(100,100-((F238-1)/(MAX($F$5:$F$265)-1))*100))</x:f>
        <x:v>11.674590596936099</x:v>
      </x:c>
      <x:c r="M238" s="83" t="n">
        <x:f>MAX(0,MIN(100,50+(('Sources &amp; Model'!$B$4-F238)/('Sources &amp; Model'!$B$6*2.5))*45))</x:f>
        <x:v>0</x:v>
      </x:c>
      <x:c r="N238" s="83" t="n">
        <x:f>IF(V238="Mine",0,IF(OR(C238="RB",C238="WR"),MAX(30,62-COUNTIFS($C$5:$C$265,C238,$V$5:$V$265,"Mine")*5),IF(OR(C238="D/ST",C238="K"),IF('Sources &amp; Model'!$B$4&gt;='Sources &amp; Model'!$B$6*('Sources &amp; Model'!$B$8-2),62,12),IF(COUNTIFS($C$5:$C$265,C238,$V$5:$V$265,"Mine")=0,82,38))))</x:f>
        <x:v>62</x:v>
      </x:c>
      <x:c r="O238" s="65" t="n">
        <x:v>69.5</x:v>
      </x:c>
      <x:c r="P238" s="83" t="n">
        <x:f>MAX(0,MIN(100,100/(1+EXP(-(('Sources &amp; Model'!$B$5-F238)/MAX(2.5,I238))))))</x:f>
        <x:v>0.03755315552835959</x:v>
      </x:c>
      <x:c r="Q238" s="65" t="n">
        <x:v>68</x:v>
      </x:c>
      <x:c r="R238" s="65" t="n">
        <x:v>92</x:v>
      </x:c>
      <x:c r="S238" s="65" t="n">
        <x:v>41.3</x:v>
      </x:c>
      <x:c r="T238" s="65" t="n">
        <x:v>50.2</x:v>
      </x:c>
      <x:c r="U238" s="84" t="n">
        <x:f>IF(V238&lt;&gt;"Available","",(L238*'Sources &amp; Model'!$B$13+M238*'Sources &amp; Model'!$B$14+N238*'Sources &amp; Model'!$B$15+O238*'Sources &amp; Model'!$B$16+P238*'Sources &amp; Model'!$B$17+Q238*'Sources &amp; Model'!$B$18+R238*'Sources &amp; Model'!$B$19+S238*'Sources &amp; Model'!$B$20+T238*'Sources &amp; Model'!$B$21)/SUM('Sources &amp; Model'!$B$13:$B$21))</x:f>
        <x:v>30.701116118511106</x:v>
      </x:c>
      <x:c r="V238" s="5" t="str">
        <x:v>Available</x:v>
      </x:c>
      <x:c r="W238" t="str">
        <x:v>https://help.fantasyfootballcalculator.com/article/42-adp-rest-api</x:v>
      </x:c>
    </x:row>
    <x:row r="239">
      <x:c r="A239" s="28" t="n">
        <x:v>235</x:v>
      </x:c>
      <x:c r="B239" s="28" t="str">
        <x:v>Jalen Tolbert</x:v>
      </x:c>
      <x:c r="C239" s="28" t="str">
        <x:v>WR</x:v>
      </x:c>
      <x:c r="D239" s="28" t="str">
        <x:v>MIA</x:v>
      </x:c>
      <x:c r="E239" s="81" t="n">
        <x:v>6</x:v>
      </x:c>
      <x:c r="F239" s="82" t="n">
        <x:v>168.7</x:v>
      </x:c>
      <x:c r="G239" s="82" t="n">
        <x:v>155</x:v>
      </x:c>
      <x:c r="H239" s="82" t="n">
        <x:v>180</x:v>
      </x:c>
      <x:c r="I239" s="82" t="n">
        <x:v>11.8</x:v>
      </x:c>
      <x:c r="J239" s="81" t="n">
        <x:v>6</x:v>
      </x:c>
      <x:c r="K239" s="81" t="n">
        <x:v>11</x:v>
      </x:c>
      <x:c r="L239" s="83" t="n">
        <x:f>MAX(0,MIN(100,100-((F239-1)/(MAX($F$5:$F$265)-1))*100))</x:f>
        <x:v>11.410459587955629</x:v>
      </x:c>
      <x:c r="M239" s="83" t="n">
        <x:f>MAX(0,MIN(100,50+(('Sources &amp; Model'!$B$4-F239)/('Sources &amp; Model'!$B$6*2.5))*45))</x:f>
        <x:v>0</x:v>
      </x:c>
      <x:c r="N239" s="83" t="n">
        <x:f>IF(V239="Mine",0,IF(OR(C239="RB",C239="WR"),MAX(30,62-COUNTIFS($C$5:$C$265,C239,$V$5:$V$265,"Mine")*5),IF(OR(C239="D/ST",C239="K"),IF('Sources &amp; Model'!$B$4&gt;='Sources &amp; Model'!$B$6*('Sources &amp; Model'!$B$8-2),62,12),IF(COUNTIFS($C$5:$C$265,C239,$V$5:$V$265,"Mine")=0,82,38))))</x:f>
        <x:v>62</x:v>
      </x:c>
      <x:c r="O239" s="65" t="n">
        <x:v>47</x:v>
      </x:c>
      <x:c r="P239" s="83" t="n">
        <x:f>MAX(0,MIN(100,100/(1+EXP(-(('Sources &amp; Model'!$B$5-F239)/MAX(2.5,I239))))))</x:f>
        <x:v>0.00006727681428262775</x:v>
      </x:c>
      <x:c r="Q239" s="65" t="n">
        <x:v>50</x:v>
      </x:c>
      <x:c r="R239" s="65" t="n">
        <x:v>92</x:v>
      </x:c>
      <x:c r="S239" s="65" t="n">
        <x:v>50.9</x:v>
      </x:c>
      <x:c r="T239" s="65" t="n">
        <x:v>50.6</x:v>
      </x:c>
      <x:c r="U239" s="84" t="n">
        <x:f>IF(V239&lt;&gt;"Available","",(L239*'Sources &amp; Model'!$B$13+M239*'Sources &amp; Model'!$B$14+N239*'Sources &amp; Model'!$B$15+O239*'Sources &amp; Model'!$B$16+P239*'Sources &amp; Model'!$B$17+Q239*'Sources &amp; Model'!$B$18+R239*'Sources &amp; Model'!$B$19+S239*'Sources &amp; Model'!$B$20+T239*'Sources &amp; Model'!$B$21)/SUM('Sources &amp; Model'!$B$13:$B$21))</x:f>
        <x:v>27.02356298758634</x:v>
      </x:c>
      <x:c r="V239" s="5" t="str">
        <x:v>Available</x:v>
      </x:c>
      <x:c r="W239" t="str">
        <x:v>https://help.fantasyfootballcalculator.com/article/42-adp-rest-api</x:v>
      </x:c>
    </x:row>
    <x:row r="240">
      <x:c r="A240" s="28" t="n">
        <x:v>236</x:v>
      </x:c>
      <x:c r="B240" s="28" t="str">
        <x:v>DAL Defense</x:v>
      </x:c>
      <x:c r="C240" s="28" t="str">
        <x:v>D/ST</x:v>
      </x:c>
      <x:c r="D240" s="28" t="str">
        <x:v>DAL</x:v>
      </x:c>
      <x:c r="E240" s="81" t="n">
        <x:v>14</x:v>
      </x:c>
      <x:c r="F240" s="82" t="n">
        <x:v>168.8</x:v>
      </x:c>
      <x:c r="G240" s="82" t="n">
        <x:v>137</x:v>
      </x:c>
      <x:c r="H240" s="82" t="n">
        <x:v>192</x:v>
      </x:c>
      <x:c r="I240" s="82" t="n">
        <x:v>15</x:v>
      </x:c>
      <x:c r="J240" s="81" t="n">
        <x:v>45</x:v>
      </x:c>
      <x:c r="K240" s="81" t="n">
        <x:v>5</x:v>
      </x:c>
      <x:c r="L240" s="83" t="n">
        <x:f>MAX(0,MIN(100,100-((F240-1)/(MAX($F$5:$F$265)-1))*100))</x:f>
        <x:v>11.357633386159534</x:v>
      </x:c>
      <x:c r="M240" s="83" t="n">
        <x:f>MAX(0,MIN(100,50+(('Sources &amp; Model'!$B$4-F240)/('Sources &amp; Model'!$B$6*2.5))*45))</x:f>
        <x:v>0</x:v>
      </x:c>
      <x:c r="N240" s="83" t="n">
        <x:f>IF(V240="Mine",0,IF(OR(C240="RB",C240="WR"),MAX(30,62-COUNTIFS($C$5:$C$265,C240,$V$5:$V$265,"Mine")*5),IF(OR(C240="D/ST",C240="K"),IF('Sources &amp; Model'!$B$4&gt;='Sources &amp; Model'!$B$6*('Sources &amp; Model'!$B$8-2),62,12),IF(COUNTIFS($C$5:$C$265,C240,$V$5:$V$265,"Mine")=0,82,38))))</x:f>
        <x:v>12</x:v>
      </x:c>
      <x:c r="O240" s="65" t="n">
        <x:v>42.5</x:v>
      </x:c>
      <x:c r="P240" s="83" t="n">
        <x:f>MAX(0,MIN(100,100/(1+EXP(-(('Sources &amp; Model'!$B$5-F240)/MAX(2.5,I240))))))</x:f>
        <x:v>0.0013857547549906357</x:v>
      </x:c>
      <x:c r="Q240" s="65" t="n">
        <x:v>68</x:v>
      </x:c>
      <x:c r="R240" s="65" t="n">
        <x:v>92</x:v>
      </x:c>
      <x:c r="S240" s="65" t="n">
        <x:v>32.6</x:v>
      </x:c>
      <x:c r="T240" s="65" t="n">
        <x:v>50</x:v>
      </x:c>
      <x:c r="U240" s="84" t="n">
        <x:f>IF(V240&lt;&gt;"Available","",(L240*'Sources &amp; Model'!$B$13+M240*'Sources &amp; Model'!$B$14+N240*'Sources &amp; Model'!$B$15+O240*'Sources &amp; Model'!$B$16+P240*'Sources &amp; Model'!$B$17+Q240*'Sources &amp; Model'!$B$18+R240*'Sources &amp; Model'!$B$19+S240*'Sources &amp; Model'!$B$20+T240*'Sources &amp; Model'!$B$21)/SUM('Sources &amp; Model'!$B$13:$B$21))</x:f>
        <x:v>19.67373392676974</x:v>
      </x:c>
      <x:c r="V240" s="5" t="str">
        <x:v>Available</x:v>
      </x:c>
      <x:c r="W240" t="str">
        <x:v>https://help.fantasyfootballcalculator.com/article/42-adp-rest-api</x:v>
      </x:c>
    </x:row>
    <x:row r="241">
      <x:c r="A241" s="28" t="n">
        <x:v>237</x:v>
      </x:c>
      <x:c r="B241" s="28" t="str">
        <x:v>CLE Defense</x:v>
      </x:c>
      <x:c r="C241" s="28" t="str">
        <x:v>D/ST</x:v>
      </x:c>
      <x:c r="D241" s="28" t="str">
        <x:v>CLE</x:v>
      </x:c>
      <x:c r="E241" s="81" t="n">
        <x:v>11</x:v>
      </x:c>
      <x:c r="F241" s="82" t="n">
        <x:v>168.9</x:v>
      </x:c>
      <x:c r="G241" s="82" t="n">
        <x:v>129</x:v>
      </x:c>
      <x:c r="H241" s="82" t="n">
        <x:v>208</x:v>
      </x:c>
      <x:c r="I241" s="82" t="n">
        <x:v>15.1</x:v>
      </x:c>
      <x:c r="J241" s="81" t="n">
        <x:v>121</x:v>
      </x:c>
      <x:c r="K241" s="81" t="n">
        <x:v>5</x:v>
      </x:c>
      <x:c r="L241" s="83" t="n">
        <x:f>MAX(0,MIN(100,100-((F241-1)/(MAX($F$5:$F$265)-1))*100))</x:f>
        <x:v>11.30480718436344</x:v>
      </x:c>
      <x:c r="M241" s="83" t="n">
        <x:f>MAX(0,MIN(100,50+(('Sources &amp; Model'!$B$4-F241)/('Sources &amp; Model'!$B$6*2.5))*45))</x:f>
        <x:v>0</x:v>
      </x:c>
      <x:c r="N241" s="83" t="n">
        <x:f>IF(V241="Mine",0,IF(OR(C241="RB",C241="WR"),MAX(30,62-COUNTIFS($C$5:$C$265,C241,$V$5:$V$265,"Mine")*5),IF(OR(C241="D/ST",C241="K"),IF('Sources &amp; Model'!$B$4&gt;='Sources &amp; Model'!$B$6*('Sources &amp; Model'!$B$8-2),62,12),IF(COUNTIFS($C$5:$C$265,C241,$V$5:$V$265,"Mine")=0,82,38))))</x:f>
        <x:v>12</x:v>
      </x:c>
      <x:c r="O241" s="65" t="n">
        <x:v>51.3</x:v>
      </x:c>
      <x:c r="P241" s="83" t="n">
        <x:f>MAX(0,MIN(100,100/(1+EXP(-(('Sources &amp; Model'!$B$5-F241)/MAX(2.5,I241))))))</x:f>
        <x:v>0.0014824636648457289</x:v>
      </x:c>
      <x:c r="Q241" s="65" t="n">
        <x:v>68</x:v>
      </x:c>
      <x:c r="R241" s="65" t="n">
        <x:v>92</x:v>
      </x:c>
      <x:c r="S241" s="65" t="n">
        <x:v>49.4</x:v>
      </x:c>
      <x:c r="T241" s="65" t="n">
        <x:v>50</x:v>
      </x:c>
      <x:c r="U241" s="84" t="n">
        <x:f>IF(V241&lt;&gt;"Available","",(L241*'Sources &amp; Model'!$B$13+M241*'Sources &amp; Model'!$B$14+N241*'Sources &amp; Model'!$B$15+O241*'Sources &amp; Model'!$B$16+P241*'Sources &amp; Model'!$B$17+Q241*'Sources &amp; Model'!$B$18+R241*'Sources &amp; Model'!$B$19+S241*'Sources &amp; Model'!$B$20+T241*'Sources &amp; Model'!$B$21)/SUM('Sources &amp; Model'!$B$13:$B$21))</x:f>
        <x:v>21.047782689050056</x:v>
      </x:c>
      <x:c r="V241" s="5" t="str">
        <x:v>Available</x:v>
      </x:c>
      <x:c r="W241" t="str">
        <x:v>https://help.fantasyfootballcalculator.com/article/42-adp-rest-api</x:v>
      </x:c>
    </x:row>
    <x:row r="242">
      <x:c r="A242" s="28" t="n">
        <x:v>238</x:v>
      </x:c>
      <x:c r="B242" s="28" t="str">
        <x:v>Ryan Flournoy</x:v>
      </x:c>
      <x:c r="C242" s="28" t="str">
        <x:v>WR</x:v>
      </x:c>
      <x:c r="D242" s="28" t="str">
        <x:v>DAL</x:v>
      </x:c>
      <x:c r="E242" s="81" t="n">
        <x:v>14</x:v>
      </x:c>
      <x:c r="F242" s="82" t="n">
        <x:v>169.6</x:v>
      </x:c>
      <x:c r="G242" s="82" t="n">
        <x:v>151</x:v>
      </x:c>
      <x:c r="H242" s="82" t="n">
        <x:v>200</x:v>
      </x:c>
      <x:c r="I242" s="82" t="n">
        <x:v>14.1</x:v>
      </x:c>
      <x:c r="J242" s="81" t="n">
        <x:v>11</x:v>
      </x:c>
      <x:c r="K242" s="81" t="n">
        <x:v>11</x:v>
      </x:c>
      <x:c r="L242" s="83" t="n">
        <x:f>MAX(0,MIN(100,100-((F242-1)/(MAX($F$5:$F$265)-1))*100))</x:f>
        <x:v>10.935023771790824</x:v>
      </x:c>
      <x:c r="M242" s="83" t="n">
        <x:f>MAX(0,MIN(100,50+(('Sources &amp; Model'!$B$4-F242)/('Sources &amp; Model'!$B$6*2.5))*45))</x:f>
        <x:v>0</x:v>
      </x:c>
      <x:c r="N242" s="83" t="n">
        <x:f>IF(V242="Mine",0,IF(OR(C242="RB",C242="WR"),MAX(30,62-COUNTIFS($C$5:$C$265,C242,$V$5:$V$265,"Mine")*5),IF(OR(C242="D/ST",C242="K"),IF('Sources &amp; Model'!$B$4&gt;='Sources &amp; Model'!$B$6*('Sources &amp; Model'!$B$8-2),62,12),IF(COUNTIFS($C$5:$C$265,C242,$V$5:$V$265,"Mine")=0,82,38))))</x:f>
        <x:v>62</x:v>
      </x:c>
      <x:c r="O242" s="65" t="n">
        <x:v>44.8</x:v>
      </x:c>
      <x:c r="P242" s="83" t="n">
        <x:f>MAX(0,MIN(100,100/(1+EXP(-(('Sources &amp; Model'!$B$5-F242)/MAX(2.5,I242))))))</x:f>
        <x:v>0.0006411269736691684</x:v>
      </x:c>
      <x:c r="Q242" s="65" t="n">
        <x:v>50</x:v>
      </x:c>
      <x:c r="R242" s="65" t="n">
        <x:v>92</x:v>
      </x:c>
      <x:c r="S242" s="65" t="n">
        <x:v>32.6</x:v>
      </x:c>
      <x:c r="T242" s="65" t="n">
        <x:v>50.2</x:v>
      </x:c>
      <x:c r="U242" s="84" t="n">
        <x:f>IF(V242&lt;&gt;"Available","",(L242*'Sources &amp; Model'!$B$13+M242*'Sources &amp; Model'!$B$14+N242*'Sources &amp; Model'!$B$15+O242*'Sources &amp; Model'!$B$16+P242*'Sources &amp; Model'!$B$17+Q242*'Sources &amp; Model'!$B$18+R242*'Sources &amp; Model'!$B$19+S242*'Sources &amp; Model'!$B$20+T242*'Sources &amp; Model'!$B$21)/SUM('Sources &amp; Model'!$B$13:$B$21))</x:f>
        <x:v>26.22797219510624</x:v>
      </x:c>
      <x:c r="V242" s="5" t="str">
        <x:v>Available</x:v>
      </x:c>
      <x:c r="W242" t="str">
        <x:v>https://help.fantasyfootballcalculator.com/article/42-adp-rest-api</x:v>
      </x:c>
    </x:row>
    <x:row r="243">
      <x:c r="A243" s="28" t="n">
        <x:v>239</x:v>
      </x:c>
      <x:c r="B243" s="28" t="str">
        <x:v>Darius Slayton</x:v>
      </x:c>
      <x:c r="C243" s="28" t="str">
        <x:v>WR</x:v>
      </x:c>
      <x:c r="D243" s="28" t="str">
        <x:v>NYG</x:v>
      </x:c>
      <x:c r="E243" s="81" t="n">
        <x:v>8</x:v>
      </x:c>
      <x:c r="F243" s="82" t="n">
        <x:v>170.1</x:v>
      </x:c>
      <x:c r="G243" s="82" t="n">
        <x:v>135</x:v>
      </x:c>
      <x:c r="H243" s="82" t="n">
        <x:v>206</x:v>
      </x:c>
      <x:c r="I243" s="82" t="n">
        <x:v>26.4</x:v>
      </x:c>
      <x:c r="J243" s="81" t="n">
        <x:v>7</x:v>
      </x:c>
      <x:c r="K243" s="81" t="n">
        <x:v>11</x:v>
      </x:c>
      <x:c r="L243" s="83" t="n">
        <x:f>MAX(0,MIN(100,100-((F243-1)/(MAX($F$5:$F$265)-1))*100))</x:f>
        <x:v>10.670892762810354</x:v>
      </x:c>
      <x:c r="M243" s="83" t="n">
        <x:f>MAX(0,MIN(100,50+(('Sources &amp; Model'!$B$4-F243)/('Sources &amp; Model'!$B$6*2.5))*45))</x:f>
        <x:v>0</x:v>
      </x:c>
      <x:c r="N243" s="83" t="n">
        <x:f>IF(V243="Mine",0,IF(OR(C243="RB",C243="WR"),MAX(30,62-COUNTIFS($C$5:$C$265,C243,$V$5:$V$265,"Mine")*5),IF(OR(C243="D/ST",C243="K"),IF('Sources &amp; Model'!$B$4&gt;='Sources &amp; Model'!$B$6*('Sources &amp; Model'!$B$8-2),62,12),IF(COUNTIFS($C$5:$C$265,C243,$V$5:$V$265,"Mine")=0,82,38))))</x:f>
        <x:v>62</x:v>
      </x:c>
      <x:c r="O243" s="65" t="n">
        <x:v>52.5</x:v>
      </x:c>
      <x:c r="P243" s="83" t="n">
        <x:f>MAX(0,MIN(100,100/(1+EXP(-(('Sources &amp; Model'!$B$5-F243)/MAX(2.5,I243))))))</x:f>
        <x:v>0.16500421675760063</x:v>
      </x:c>
      <x:c r="Q243" s="65" t="n">
        <x:v>68</x:v>
      </x:c>
      <x:c r="R243" s="65" t="n">
        <x:v>92</x:v>
      </x:c>
      <x:c r="S243" s="65" t="n">
        <x:v>40.4</x:v>
      </x:c>
      <x:c r="T243" s="65" t="n">
        <x:v>50.3</x:v>
      </x:c>
      <x:c r="U243" s="84" t="n">
        <x:f>IF(V243&lt;&gt;"Available","",(L243*'Sources &amp; Model'!$B$13+M243*'Sources &amp; Model'!$B$14+N243*'Sources &amp; Model'!$B$15+O243*'Sources &amp; Model'!$B$16+P243*'Sources &amp; Model'!$B$17+Q243*'Sources &amp; Model'!$B$18+R243*'Sources &amp; Model'!$B$19+S243*'Sources &amp; Model'!$B$20+T243*'Sources &amp; Model'!$B$21)/SUM('Sources &amp; Model'!$B$13:$B$21))</x:f>
        <x:v>28.315603961031282</x:v>
      </x:c>
      <x:c r="V243" s="5" t="str">
        <x:v>Available</x:v>
      </x:c>
      <x:c r="W243" t="str">
        <x:v>https://help.fantasyfootballcalculator.com/article/42-adp-rest-api</x:v>
      </x:c>
    </x:row>
    <x:row r="244">
      <x:c r="A244" s="28" t="n">
        <x:v>240</x:v>
      </x:c>
      <x:c r="B244" s="28" t="str">
        <x:v>CHI Defense</x:v>
      </x:c>
      <x:c r="C244" s="28" t="str">
        <x:v>D/ST</x:v>
      </x:c>
      <x:c r="D244" s="28" t="str">
        <x:v>CHI</x:v>
      </x:c>
      <x:c r="E244" s="81" t="n">
        <x:v>10</x:v>
      </x:c>
      <x:c r="F244" s="82" t="n">
        <x:v>170.6</x:v>
      </x:c>
      <x:c r="G244" s="82" t="n">
        <x:v>133</x:v>
      </x:c>
      <x:c r="H244" s="82" t="n">
        <x:v>209</x:v>
      </x:c>
      <x:c r="I244" s="82" t="n">
        <x:v>18.6</x:v>
      </x:c>
      <x:c r="J244" s="81" t="n">
        <x:v>12</x:v>
      </x:c>
      <x:c r="K244" s="81" t="n">
        <x:v>5</x:v>
      </x:c>
      <x:c r="L244" s="83" t="n">
        <x:f>MAX(0,MIN(100,100-((F244-1)/(MAX($F$5:$F$265)-1))*100))</x:f>
        <x:v>10.406761753829912</x:v>
      </x:c>
      <x:c r="M244" s="83" t="n">
        <x:f>MAX(0,MIN(100,50+(('Sources &amp; Model'!$B$4-F244)/('Sources &amp; Model'!$B$6*2.5))*45))</x:f>
        <x:v>0</x:v>
      </x:c>
      <x:c r="N244" s="83" t="n">
        <x:f>IF(V244="Mine",0,IF(OR(C244="RB",C244="WR"),MAX(30,62-COUNTIFS($C$5:$C$265,C244,$V$5:$V$265,"Mine")*5),IF(OR(C244="D/ST",C244="K"),IF('Sources &amp; Model'!$B$4&gt;='Sources &amp; Model'!$B$6*('Sources &amp; Model'!$B$8-2),62,12),IF(COUNTIFS($C$5:$C$265,C244,$V$5:$V$265,"Mine")=0,82,38))))</x:f>
        <x:v>12</x:v>
      </x:c>
      <x:c r="O244" s="65" t="n">
        <x:v>46.4</x:v>
      </x:c>
      <x:c r="P244" s="83" t="n">
        <x:f>MAX(0,MIN(100,100/(1+EXP(-(('Sources &amp; Model'!$B$5-F244)/MAX(2.5,I244))))))</x:f>
        <x:v>0.010963112823523455</x:v>
      </x:c>
      <x:c r="Q244" s="65" t="n">
        <x:v>68</x:v>
      </x:c>
      <x:c r="R244" s="65" t="n">
        <x:v>92</x:v>
      </x:c>
      <x:c r="S244" s="65" t="n">
        <x:v>29.9</x:v>
      </x:c>
      <x:c r="T244" s="65" t="n">
        <x:v>50</x:v>
      </x:c>
      <x:c r="U244" s="84" t="n">
        <x:f>IF(V244&lt;&gt;"Available","",(L244*'Sources &amp; Model'!$B$13+M244*'Sources &amp; Model'!$B$14+N244*'Sources &amp; Model'!$B$15+O244*'Sources &amp; Model'!$B$16+P244*'Sources &amp; Model'!$B$17+Q244*'Sources &amp; Model'!$B$18+R244*'Sources &amp; Model'!$B$19+S244*'Sources &amp; Model'!$B$20+T244*'Sources &amp; Model'!$B$21)/SUM('Sources &amp; Model'!$B$13:$B$21))</x:f>
        <x:v>19.765395307584523</x:v>
      </x:c>
      <x:c r="V244" s="5" t="str">
        <x:v>Available</x:v>
      </x:c>
      <x:c r="W244" t="str">
        <x:v>https://help.fantasyfootballcalculator.com/article/42-adp-rest-api</x:v>
      </x:c>
    </x:row>
    <x:row r="245">
      <x:c r="A245" s="28" t="n">
        <x:v>241</x:v>
      </x:c>
      <x:c r="B245" s="28" t="str">
        <x:v>Bryce Young</x:v>
      </x:c>
      <x:c r="C245" s="28" t="str">
        <x:v>QB</x:v>
      </x:c>
      <x:c r="D245" s="28" t="str">
        <x:v>CAR</x:v>
      </x:c>
      <x:c r="E245" s="81" t="n">
        <x:v>5</x:v>
      </x:c>
      <x:c r="F245" s="82" t="n">
        <x:v>170.7</x:v>
      </x:c>
      <x:c r="G245" s="82" t="n">
        <x:v>139</x:v>
      </x:c>
      <x:c r="H245" s="82" t="n">
        <x:v>209</x:v>
      </x:c>
      <x:c r="I245" s="82" t="n">
        <x:v>16</x:v>
      </x:c>
      <x:c r="J245" s="81" t="n">
        <x:v>29</x:v>
      </x:c>
      <x:c r="K245" s="81" t="n">
        <x:v>7</x:v>
      </x:c>
      <x:c r="L245" s="83" t="n">
        <x:f>MAX(0,MIN(100,100-((F245-1)/(MAX($F$5:$F$265)-1))*100))</x:f>
        <x:v>10.353935552033818</x:v>
      </x:c>
      <x:c r="M245" s="83" t="n">
        <x:f>MAX(0,MIN(100,50+(('Sources &amp; Model'!$B$4-F245)/('Sources &amp; Model'!$B$6*2.5))*45))</x:f>
        <x:v>0</x:v>
      </x:c>
      <x:c r="N245" s="83" t="n">
        <x:f>IF(V245="Mine",0,IF(OR(C245="RB",C245="WR"),MAX(30,62-COUNTIFS($C$5:$C$265,C245,$V$5:$V$265,"Mine")*5),IF(OR(C245="D/ST",C245="K"),IF('Sources &amp; Model'!$B$4&gt;='Sources &amp; Model'!$B$6*('Sources &amp; Model'!$B$8-2),62,12),IF(COUNTIFS($C$5:$C$265,C245,$V$5:$V$265,"Mine")=0,82,38))))</x:f>
        <x:v>82</x:v>
      </x:c>
      <x:c r="O245" s="65" t="n">
        <x:v>48.1</x:v>
      </x:c>
      <x:c r="P245" s="83" t="n">
        <x:f>MAX(0,MIN(100,100/(1+EXP(-(('Sources &amp; Model'!$B$5-F245)/MAX(2.5,I245))))))</x:f>
        <x:v>0.0024760157218678028</x:v>
      </x:c>
      <x:c r="Q245" s="65" t="n">
        <x:v>90</x:v>
      </x:c>
      <x:c r="R245" s="65" t="n">
        <x:v>92</x:v>
      </x:c>
      <x:c r="S245" s="65" t="n">
        <x:v>43.9</x:v>
      </x:c>
      <x:c r="T245" s="65" t="n">
        <x:v>48.4</x:v>
      </x:c>
      <x:c r="U245" s="84" t="n">
        <x:f>IF(V245&lt;&gt;"Available","",(L245*'Sources &amp; Model'!$B$13+M245*'Sources &amp; Model'!$B$14+N245*'Sources &amp; Model'!$B$15+O245*'Sources &amp; Model'!$B$16+P245*'Sources &amp; Model'!$B$17+Q245*'Sources &amp; Model'!$B$18+R245*'Sources &amp; Model'!$B$19+S245*'Sources &amp; Model'!$B$20+T245*'Sources &amp; Model'!$B$21)/SUM('Sources &amp; Model'!$B$13:$B$21))</x:f>
        <x:v>32.034585689263686</x:v>
      </x:c>
      <x:c r="V245" s="5" t="str">
        <x:v>Available</x:v>
      </x:c>
      <x:c r="W245" t="str">
        <x:v>https://help.fantasyfootballcalculator.com/article/42-adp-rest-api</x:v>
      </x:c>
    </x:row>
    <x:row r="246">
      <x:c r="A246" s="28" t="n">
        <x:v>242</x:v>
      </x:c>
      <x:c r="B246" s="28" t="str">
        <x:v>Evan McPherson</x:v>
      </x:c>
      <x:c r="C246" s="28" t="str">
        <x:v>K</x:v>
      </x:c>
      <x:c r="D246" s="28" t="str">
        <x:v>CIN</x:v>
      </x:c>
      <x:c r="E246" s="81" t="n">
        <x:v>6</x:v>
      </x:c>
      <x:c r="F246" s="82" t="n">
        <x:v>171.3</x:v>
      </x:c>
      <x:c r="G246" s="82" t="n">
        <x:v>135</x:v>
      </x:c>
      <x:c r="H246" s="82" t="n">
        <x:v>210</x:v>
      </x:c>
      <x:c r="I246" s="82" t="n">
        <x:v>16.2</x:v>
      </x:c>
      <x:c r="J246" s="81" t="n">
        <x:v>95</x:v>
      </x:c>
      <x:c r="K246" s="81" t="n">
        <x:v>5</x:v>
      </x:c>
      <x:c r="L246" s="83" t="n">
        <x:f>MAX(0,MIN(100,100-((F246-1)/(MAX($F$5:$F$265)-1))*100))</x:f>
        <x:v>10.036978341257267</x:v>
      </x:c>
      <x:c r="M246" s="83" t="n">
        <x:f>MAX(0,MIN(100,50+(('Sources &amp; Model'!$B$4-F246)/('Sources &amp; Model'!$B$6*2.5))*45))</x:f>
        <x:v>0</x:v>
      </x:c>
      <x:c r="N246" s="83" t="n">
        <x:f>IF(V246="Mine",0,IF(OR(C246="RB",C246="WR"),MAX(30,62-COUNTIFS($C$5:$C$265,C246,$V$5:$V$265,"Mine")*5),IF(OR(C246="D/ST",C246="K"),IF('Sources &amp; Model'!$B$4&gt;='Sources &amp; Model'!$B$6*('Sources &amp; Model'!$B$8-2),62,12),IF(COUNTIFS($C$5:$C$265,C246,$V$5:$V$265,"Mine")=0,82,38))))</x:f>
        <x:v>12</x:v>
      </x:c>
      <x:c r="O246" s="65" t="n">
        <x:v>54.1</x:v>
      </x:c>
      <x:c r="P246" s="83" t="n">
        <x:f>MAX(0,MIN(100,100/(1+EXP(-(('Sources &amp; Model'!$B$5-F246)/MAX(2.5,I246))))))</x:f>
        <x:v>0.002719784332778558</x:v>
      </x:c>
      <x:c r="Q246" s="65" t="n">
        <x:v>68</x:v>
      </x:c>
      <x:c r="R246" s="65" t="n">
        <x:v>92</x:v>
      </x:c>
      <x:c r="S246" s="65" t="n">
        <x:v>40.2</x:v>
      </x:c>
      <x:c r="T246" s="65" t="n">
        <x:v>50</x:v>
      </x:c>
      <x:c r="U246" s="84" t="n">
        <x:f>IF(V246&lt;&gt;"Available","",(L246*'Sources &amp; Model'!$B$13+M246*'Sources &amp; Model'!$B$14+N246*'Sources &amp; Model'!$B$15+O246*'Sources &amp; Model'!$B$16+P246*'Sources &amp; Model'!$B$17+Q246*'Sources &amp; Model'!$B$18+R246*'Sources &amp; Model'!$B$19+S246*'Sources &amp; Model'!$B$20+T246*'Sources &amp; Model'!$B$21)/SUM('Sources &amp; Model'!$B$13:$B$21))</x:f>
        <x:v>20.76884461446075</x:v>
      </x:c>
      <x:c r="V246" s="5" t="str">
        <x:v>Available</x:v>
      </x:c>
      <x:c r="W246" t="str">
        <x:v>https://help.fantasyfootballcalculator.com/article/42-adp-rest-api</x:v>
      </x:c>
    </x:row>
    <x:row r="247">
      <x:c r="A247" s="28" t="n">
        <x:v>243</x:v>
      </x:c>
      <x:c r="B247" s="28" t="str">
        <x:v>NO Defense</x:v>
      </x:c>
      <x:c r="C247" s="28" t="str">
        <x:v>D/ST</x:v>
      </x:c>
      <x:c r="D247" s="28" t="str">
        <x:v>NO</x:v>
      </x:c>
      <x:c r="E247" s="81" t="n">
        <x:v>8</x:v>
      </x:c>
      <x:c r="F247" s="82" t="n">
        <x:v>171.4</x:v>
      </x:c>
      <x:c r="G247" s="82" t="n">
        <x:v>135</x:v>
      </x:c>
      <x:c r="H247" s="82" t="n">
        <x:v>210</x:v>
      </x:c>
      <x:c r="I247" s="82" t="n">
        <x:v>13.8</x:v>
      </x:c>
      <x:c r="J247" s="81" t="n">
        <x:v>133</x:v>
      </x:c>
      <x:c r="K247" s="81" t="n">
        <x:v>6</x:v>
      </x:c>
      <x:c r="L247" s="83" t="n">
        <x:f>MAX(0,MIN(100,100-((F247-1)/(MAX($F$5:$F$265)-1))*100))</x:f>
        <x:v>9.984152139461173</x:v>
      </x:c>
      <x:c r="M247" s="83" t="n">
        <x:f>MAX(0,MIN(100,50+(('Sources &amp; Model'!$B$4-F247)/('Sources &amp; Model'!$B$6*2.5))*45))</x:f>
        <x:v>0</x:v>
      </x:c>
      <x:c r="N247" s="83" t="n">
        <x:f>IF(V247="Mine",0,IF(OR(C247="RB",C247="WR"),MAX(30,62-COUNTIFS($C$5:$C$265,C247,$V$5:$V$265,"Mine")*5),IF(OR(C247="D/ST",C247="K"),IF('Sources &amp; Model'!$B$4&gt;='Sources &amp; Model'!$B$6*('Sources &amp; Model'!$B$8-2),62,12),IF(COUNTIFS($C$5:$C$265,C247,$V$5:$V$265,"Mine")=0,82,38))))</x:f>
        <x:v>12</x:v>
      </x:c>
      <x:c r="O247" s="65" t="n">
        <x:v>44.8</x:v>
      </x:c>
      <x:c r="P247" s="83" t="n">
        <x:f>MAX(0,MIN(100,100/(1+EXP(-(('Sources &amp; Model'!$B$5-F247)/MAX(2.5,I247))))))</x:f>
        <x:v>0.00043391571832301874</x:v>
      </x:c>
      <x:c r="Q247" s="65" t="n">
        <x:v>68</x:v>
      </x:c>
      <x:c r="R247" s="65" t="n">
        <x:v>92</x:v>
      </x:c>
      <x:c r="S247" s="65" t="n">
        <x:v>47.2</x:v>
      </x:c>
      <x:c r="T247" s="65" t="n">
        <x:v>50</x:v>
      </x:c>
      <x:c r="U247" s="84" t="n">
        <x:f>IF(V247&lt;&gt;"Available","",(L247*'Sources &amp; Model'!$B$13+M247*'Sources &amp; Model'!$B$14+N247*'Sources &amp; Model'!$B$15+O247*'Sources &amp; Model'!$B$16+P247*'Sources &amp; Model'!$B$17+Q247*'Sources &amp; Model'!$B$18+R247*'Sources &amp; Model'!$B$19+S247*'Sources &amp; Model'!$B$20+T247*'Sources &amp; Model'!$B$21)/SUM('Sources &amp; Model'!$B$13:$B$21))</x:f>
        <x:v>19.774655118988633</x:v>
      </x:c>
      <x:c r="V247" s="5" t="str">
        <x:v>Available</x:v>
      </x:c>
      <x:c r="W247" t="str">
        <x:v>https://help.fantasyfootballcalculator.com/article/42-adp-rest-api</x:v>
      </x:c>
    </x:row>
    <x:row r="248">
      <x:c r="A248" s="28" t="n">
        <x:v>244</x:v>
      </x:c>
      <x:c r="B248" s="28" t="str">
        <x:v>Cam Ward</x:v>
      </x:c>
      <x:c r="C248" s="28" t="str">
        <x:v>QB</x:v>
      </x:c>
      <x:c r="D248" s="28" t="str">
        <x:v>TEN</x:v>
      </x:c>
      <x:c r="E248" s="81" t="n">
        <x:v>9</x:v>
      </x:c>
      <x:c r="F248" s="82" t="n">
        <x:v>171.8</x:v>
      </x:c>
      <x:c r="G248" s="82" t="n">
        <x:v>129</x:v>
      </x:c>
      <x:c r="H248" s="82" t="n">
        <x:v>210</x:v>
      </x:c>
      <x:c r="I248" s="82" t="n">
        <x:v>18.2</x:v>
      </x:c>
      <x:c r="J248" s="81" t="n">
        <x:v>50</x:v>
      </x:c>
      <x:c r="K248" s="81" t="n">
        <x:v>8</x:v>
      </x:c>
      <x:c r="L248" s="83" t="n">
        <x:f>MAX(0,MIN(100,100-((F248-1)/(MAX($F$5:$F$265)-1))*100))</x:f>
        <x:v>9.772847332276811</x:v>
      </x:c>
      <x:c r="M248" s="83" t="n">
        <x:f>MAX(0,MIN(100,50+(('Sources &amp; Model'!$B$4-F248)/('Sources &amp; Model'!$B$6*2.5))*45))</x:f>
        <x:v>0</x:v>
      </x:c>
      <x:c r="N248" s="83" t="n">
        <x:f>IF(V248="Mine",0,IF(OR(C248="RB",C248="WR"),MAX(30,62-COUNTIFS($C$5:$C$265,C248,$V$5:$V$265,"Mine")*5),IF(OR(C248="D/ST",C248="K"),IF('Sources &amp; Model'!$B$4&gt;='Sources &amp; Model'!$B$6*('Sources &amp; Model'!$B$8-2),62,12),IF(COUNTIFS($C$5:$C$265,C248,$V$5:$V$265,"Mine")=0,82,38))))</x:f>
        <x:v>82</x:v>
      </x:c>
      <x:c r="O248" s="65" t="n">
        <x:v>42</x:v>
      </x:c>
      <x:c r="P248" s="83" t="n">
        <x:f>MAX(0,MIN(100,100/(1+EXP(-(('Sources &amp; Model'!$B$5-F248)/MAX(2.5,I248))))))</x:f>
        <x:v>0.00839995272031486</x:v>
      </x:c>
      <x:c r="Q248" s="65" t="n">
        <x:v>90</x:v>
      </x:c>
      <x:c r="R248" s="65" t="n">
        <x:v>92</x:v>
      </x:c>
      <x:c r="S248" s="65" t="n">
        <x:v>50.9</x:v>
      </x:c>
      <x:c r="T248" s="65" t="n">
        <x:v>50</x:v>
      </x:c>
      <x:c r="U248" s="84" t="n">
        <x:f>IF(V248&lt;&gt;"Available","",(L248*'Sources &amp; Model'!$B$13+M248*'Sources &amp; Model'!$B$14+N248*'Sources &amp; Model'!$B$15+O248*'Sources &amp; Model'!$B$16+P248*'Sources &amp; Model'!$B$17+Q248*'Sources &amp; Model'!$B$18+R248*'Sources &amp; Model'!$B$19+S248*'Sources &amp; Model'!$B$20+T248*'Sources &amp; Model'!$B$21)/SUM('Sources &amp; Model'!$B$13:$B$21))</x:f>
        <x:v>31.26160808824615</x:v>
      </x:c>
      <x:c r="V248" s="5" t="str">
        <x:v>Available</x:v>
      </x:c>
      <x:c r="W248" t="str">
        <x:v>https://help.fantasyfootballcalculator.com/article/42-adp-rest-api</x:v>
      </x:c>
    </x:row>
    <x:row r="249">
      <x:c r="A249" s="28" t="n">
        <x:v>245</x:v>
      </x:c>
      <x:c r="B249" s="28" t="str">
        <x:v>NYG Defense</x:v>
      </x:c>
      <x:c r="C249" s="28" t="str">
        <x:v>D/ST</x:v>
      </x:c>
      <x:c r="D249" s="28" t="str">
        <x:v>NYG</x:v>
      </x:c>
      <x:c r="E249" s="81" t="n">
        <x:v>8</x:v>
      </x:c>
      <x:c r="F249" s="82" t="n">
        <x:v>171.9</x:v>
      </x:c>
      <x:c r="G249" s="82" t="n">
        <x:v>118</x:v>
      </x:c>
      <x:c r="H249" s="82" t="n">
        <x:v>207</x:v>
      </x:c>
      <x:c r="I249" s="82" t="n">
        <x:v>21.1</x:v>
      </x:c>
      <x:c r="J249" s="81" t="n">
        <x:v>25</x:v>
      </x:c>
      <x:c r="K249" s="81" t="n">
        <x:v>6</x:v>
      </x:c>
      <x:c r="L249" s="83" t="n">
        <x:f>MAX(0,MIN(100,100-((F249-1)/(MAX($F$5:$F$265)-1))*100))</x:f>
        <x:v>9.720021130480717</x:v>
      </x:c>
      <x:c r="M249" s="83" t="n">
        <x:f>MAX(0,MIN(100,50+(('Sources &amp; Model'!$B$4-F249)/('Sources &amp; Model'!$B$6*2.5))*45))</x:f>
        <x:v>0</x:v>
      </x:c>
      <x:c r="N249" s="83" t="n">
        <x:f>IF(V249="Mine",0,IF(OR(C249="RB",C249="WR"),MAX(30,62-COUNTIFS($C$5:$C$265,C249,$V$5:$V$265,"Mine")*5),IF(OR(C249="D/ST",C249="K"),IF('Sources &amp; Model'!$B$4&gt;='Sources &amp; Model'!$B$6*('Sources &amp; Model'!$B$8-2),62,12),IF(COUNTIFS($C$5:$C$265,C249,$V$5:$V$265,"Mine")=0,82,38))))</x:f>
        <x:v>12</x:v>
      </x:c>
      <x:c r="O249" s="65" t="n">
        <x:v>74.5</x:v>
      </x:c>
      <x:c r="P249" s="83" t="n">
        <x:f>MAX(0,MIN(100,100/(1+EXP(-(('Sources &amp; Model'!$B$5-F249)/MAX(2.5,I249))))))</x:f>
        <x:v>0.030359083420081413</x:v>
      </x:c>
      <x:c r="Q249" s="65" t="n">
        <x:v>68</x:v>
      </x:c>
      <x:c r="R249" s="65" t="n">
        <x:v>92</x:v>
      </x:c>
      <x:c r="S249" s="65" t="n">
        <x:v>40.4</x:v>
      </x:c>
      <x:c r="T249" s="65" t="n">
        <x:v>50</x:v>
      </x:c>
      <x:c r="U249" s="84" t="n">
        <x:f>IF(V249&lt;&gt;"Available","",(L249*'Sources &amp; Model'!$B$13+M249*'Sources &amp; Model'!$B$14+N249*'Sources &amp; Model'!$B$15+O249*'Sources &amp; Model'!$B$16+P249*'Sources &amp; Model'!$B$17+Q249*'Sources &amp; Model'!$B$18+R249*'Sources &amp; Model'!$B$19+S249*'Sources &amp; Model'!$B$20+T249*'Sources &amp; Model'!$B$21)/SUM('Sources &amp; Model'!$B$13:$B$21))</x:f>
        <x:v>23.115843092705454</x:v>
      </x:c>
      <x:c r="V249" s="5" t="str">
        <x:v>Available</x:v>
      </x:c>
      <x:c r="W249" t="str">
        <x:v>https://help.fantasyfootballcalculator.com/article/42-adp-rest-api</x:v>
      </x:c>
    </x:row>
    <x:row r="250">
      <x:c r="A250" s="28" t="n">
        <x:v>246</x:v>
      </x:c>
      <x:c r="B250" s="28" t="str">
        <x:v>Zachariah Branch</x:v>
      </x:c>
      <x:c r="C250" s="28" t="str">
        <x:v>WR</x:v>
      </x:c>
      <x:c r="D250" s="28" t="str">
        <x:v>ATL</x:v>
      </x:c>
      <x:c r="E250" s="81" t="n">
        <x:v>11</x:v>
      </x:c>
      <x:c r="F250" s="82" t="n">
        <x:v>172</x:v>
      </x:c>
      <x:c r="G250" s="82" t="n">
        <x:v>155</x:v>
      </x:c>
      <x:c r="H250" s="82" t="n">
        <x:v>179</x:v>
      </x:c>
      <x:c r="I250" s="82" t="n">
        <x:v>6.3</x:v>
      </x:c>
      <x:c r="J250" s="81" t="n">
        <x:v>13</x:v>
      </x:c>
      <x:c r="K250" s="81" t="n">
        <x:v>11</x:v>
      </x:c>
      <x:c r="L250" s="83" t="n">
        <x:f>MAX(0,MIN(100,100-((F250-1)/(MAX($F$5:$F$265)-1))*100))</x:f>
        <x:v>9.667194928684637</x:v>
      </x:c>
      <x:c r="M250" s="83" t="n">
        <x:f>MAX(0,MIN(100,50+(('Sources &amp; Model'!$B$4-F250)/('Sources &amp; Model'!$B$6*2.5))*45))</x:f>
        <x:v>0</x:v>
      </x:c>
      <x:c r="N250" s="83" t="n">
        <x:f>IF(V250="Mine",0,IF(OR(C250="RB",C250="WR"),MAX(30,62-COUNTIFS($C$5:$C$265,C250,$V$5:$V$265,"Mine")*5),IF(OR(C250="D/ST",C250="K"),IF('Sources &amp; Model'!$B$4&gt;='Sources &amp; Model'!$B$6*('Sources &amp; Model'!$B$8-2),62,12),IF(COUNTIFS($C$5:$C$265,C250,$V$5:$V$265,"Mine")=0,82,38))))</x:f>
        <x:v>62</x:v>
      </x:c>
      <x:c r="O250" s="65" t="n">
        <x:v>44.2</x:v>
      </x:c>
      <x:c r="P250" s="83" t="n">
        <x:f>MAX(0,MIN(100,100/(1+EXP(-(('Sources &amp; Model'!$B$5-F250)/MAX(2.5,I250))))))</x:f>
        <x:v>1.629321992998691e-10</x:v>
      </x:c>
      <x:c r="Q250" s="65" t="n">
        <x:v>68</x:v>
      </x:c>
      <x:c r="R250" s="65" t="n">
        <x:v>92</x:v>
      </x:c>
      <x:c r="S250" s="65" t="n">
        <x:v>42.1</x:v>
      </x:c>
      <x:c r="T250" s="65" t="n">
        <x:v>50</x:v>
      </x:c>
      <x:c r="U250" s="84" t="n">
        <x:f>IF(V250&lt;&gt;"Available","",(L250*'Sources &amp; Model'!$B$13+M250*'Sources &amp; Model'!$B$14+N250*'Sources &amp; Model'!$B$15+O250*'Sources &amp; Model'!$B$16+P250*'Sources &amp; Model'!$B$17+Q250*'Sources &amp; Model'!$B$18+R250*'Sources &amp; Model'!$B$19+S250*'Sources &amp; Model'!$B$20+T250*'Sources &amp; Model'!$B$21)/SUM('Sources &amp; Model'!$B$13:$B$21))</x:f>
        <x:v>26.99284627576907</x:v>
      </x:c>
      <x:c r="V250" s="5" t="str">
        <x:v>Available</x:v>
      </x:c>
      <x:c r="W250" t="str">
        <x:v>https://help.fantasyfootballcalculator.com/article/42-adp-rest-api</x:v>
      </x:c>
    </x:row>
    <x:row r="251">
      <x:c r="A251" s="28" t="n">
        <x:v>247</x:v>
      </x:c>
      <x:c r="B251" s="28" t="str">
        <x:v>Germie Bernard</x:v>
      </x:c>
      <x:c r="C251" s="28" t="str">
        <x:v>WR</x:v>
      </x:c>
      <x:c r="D251" s="28" t="str">
        <x:v>PIT</x:v>
      </x:c>
      <x:c r="E251" s="81" t="n">
        <x:v>9</x:v>
      </x:c>
      <x:c r="F251" s="82" t="n">
        <x:v>172.4</x:v>
      </x:c>
      <x:c r="G251" s="82" t="n">
        <x:v>149</x:v>
      </x:c>
      <x:c r="H251" s="82" t="n">
        <x:v>189</x:v>
      </x:c>
      <x:c r="I251" s="82" t="n">
        <x:v>9.9</x:v>
      </x:c>
      <x:c r="J251" s="81" t="n">
        <x:v>18</x:v>
      </x:c>
      <x:c r="K251" s="81" t="n">
        <x:v>11</x:v>
      </x:c>
      <x:c r="L251" s="83" t="n">
        <x:f>MAX(0,MIN(100,100-((F251-1)/(MAX($F$5:$F$265)-1))*100))</x:f>
        <x:v>9.45589012150026</x:v>
      </x:c>
      <x:c r="M251" s="83" t="n">
        <x:f>MAX(0,MIN(100,50+(('Sources &amp; Model'!$B$4-F251)/('Sources &amp; Model'!$B$6*2.5))*45))</x:f>
        <x:v>0</x:v>
      </x:c>
      <x:c r="N251" s="83" t="n">
        <x:f>IF(V251="Mine",0,IF(OR(C251="RB",C251="WR"),MAX(30,62-COUNTIFS($C$5:$C$265,C251,$V$5:$V$265,"Mine")*5),IF(OR(C251="D/ST",C251="K"),IF('Sources &amp; Model'!$B$4&gt;='Sources &amp; Model'!$B$6*('Sources &amp; Model'!$B$8-2),62,12),IF(COUNTIFS($C$5:$C$265,C251,$V$5:$V$265,"Mine")=0,82,38))))</x:f>
        <x:v>62</x:v>
      </x:c>
      <x:c r="O251" s="65" t="n">
        <x:v>45.3</x:v>
      </x:c>
      <x:c r="P251" s="83" t="n">
        <x:f>MAX(0,MIN(100,100/(1+EXP(-(('Sources &amp; Model'!$B$5-F251)/MAX(2.5,I251))))))</x:f>
        <x:v>0.0000030269315013153474</x:v>
      </x:c>
      <x:c r="Q251" s="65" t="n">
        <x:v>50</x:v>
      </x:c>
      <x:c r="R251" s="65" t="n">
        <x:v>92</x:v>
      </x:c>
      <x:c r="S251" s="65" t="n">
        <x:v>33.7</x:v>
      </x:c>
      <x:c r="T251" s="65" t="n">
        <x:v>50</x:v>
      </x:c>
      <x:c r="U251" s="84" t="n">
        <x:f>IF(V251&lt;&gt;"Available","",(L251*'Sources &amp; Model'!$B$13+M251*'Sources &amp; Model'!$B$14+N251*'Sources &amp; Model'!$B$15+O251*'Sources &amp; Model'!$B$16+P251*'Sources &amp; Model'!$B$17+Q251*'Sources &amp; Model'!$B$18+R251*'Sources &amp; Model'!$B$19+S251*'Sources &amp; Model'!$B$20+T251*'Sources &amp; Model'!$B$21)/SUM('Sources &amp; Model'!$B$13:$B$21))</x:f>
        <x:v>25.805002944003242</x:v>
      </x:c>
      <x:c r="V251" s="5" t="str">
        <x:v>Available</x:v>
      </x:c>
      <x:c r="W251" t="str">
        <x:v>https://help.fantasyfootballcalculator.com/article/42-adp-rest-api</x:v>
      </x:c>
    </x:row>
    <x:row r="252">
      <x:c r="A252" s="28" t="n">
        <x:v>248</x:v>
      </x:c>
      <x:c r="B252" s="28" t="str">
        <x:v>Kayshon Boutte</x:v>
      </x:c>
      <x:c r="C252" s="28" t="str">
        <x:v>WR</x:v>
      </x:c>
      <x:c r="D252" s="28" t="str">
        <x:v>NE</x:v>
      </x:c>
      <x:c r="E252" s="81" t="n">
        <x:v>11</x:v>
      </x:c>
      <x:c r="F252" s="82" t="n">
        <x:v>173</x:v>
      </x:c>
      <x:c r="G252" s="82" t="n">
        <x:v>130</x:v>
      </x:c>
      <x:c r="H252" s="82" t="n">
        <x:v>207</x:v>
      </x:c>
      <x:c r="I252" s="82" t="n">
        <x:v>16.4</x:v>
      </x:c>
      <x:c r="J252" s="81" t="n">
        <x:v>40</x:v>
      </x:c>
      <x:c r="K252" s="81" t="n">
        <x:v>11</x:v>
      </x:c>
      <x:c r="L252" s="83" t="n">
        <x:f>MAX(0,MIN(100,100-((F252-1)/(MAX($F$5:$F$265)-1))*100))</x:f>
        <x:v>9.138932910723724</x:v>
      </x:c>
      <x:c r="M252" s="83" t="n">
        <x:f>MAX(0,MIN(100,50+(('Sources &amp; Model'!$B$4-F252)/('Sources &amp; Model'!$B$6*2.5))*45))</x:f>
        <x:v>0</x:v>
      </x:c>
      <x:c r="N252" s="83" t="n">
        <x:f>IF(V252="Mine",0,IF(OR(C252="RB",C252="WR"),MAX(30,62-COUNTIFS($C$5:$C$265,C252,$V$5:$V$265,"Mine")*5),IF(OR(C252="D/ST",C252="K"),IF('Sources &amp; Model'!$B$4&gt;='Sources &amp; Model'!$B$6*('Sources &amp; Model'!$B$8-2),62,12),IF(COUNTIFS($C$5:$C$265,C252,$V$5:$V$265,"Mine")=0,82,38))))</x:f>
        <x:v>62</x:v>
      </x:c>
      <x:c r="O252" s="65" t="n">
        <x:v>46.4</x:v>
      </x:c>
      <x:c r="P252" s="83" t="n">
        <x:f>MAX(0,MIN(100,100/(1+EXP(-(('Sources &amp; Model'!$B$5-F252)/MAX(2.5,I252))))))</x:f>
        <x:v>0.0027873538725101425</x:v>
      </x:c>
      <x:c r="Q252" s="65" t="n">
        <x:v>50</x:v>
      </x:c>
      <x:c r="R252" s="65" t="n">
        <x:v>92</x:v>
      </x:c>
      <x:c r="S252" s="65" t="n">
        <x:v>40.6</x:v>
      </x:c>
      <x:c r="T252" s="65" t="n">
        <x:v>50.2</x:v>
      </x:c>
      <x:c r="U252" s="84" t="n">
        <x:f>IF(V252&lt;&gt;"Available","",(L252*'Sources &amp; Model'!$B$13+M252*'Sources &amp; Model'!$B$14+N252*'Sources &amp; Model'!$B$15+O252*'Sources &amp; Model'!$B$16+P252*'Sources &amp; Model'!$B$17+Q252*'Sources &amp; Model'!$B$18+R252*'Sources &amp; Model'!$B$19+S252*'Sources &amp; Model'!$B$20+T252*'Sources &amp; Model'!$B$21)/SUM('Sources &amp; Model'!$B$13:$B$21))</x:f>
        <x:v>25.96951592503331</x:v>
      </x:c>
      <x:c r="V252" s="5" t="str">
        <x:v>Available</x:v>
      </x:c>
      <x:c r="W252" t="str">
        <x:v>https://help.fantasyfootballcalculator.com/article/42-adp-rest-api</x:v>
      </x:c>
    </x:row>
    <x:row r="253">
      <x:c r="A253" s="28" t="n">
        <x:v>249</x:v>
      </x:c>
      <x:c r="B253" s="28" t="str">
        <x:v>James Conner</x:v>
      </x:c>
      <x:c r="C253" s="28" t="str">
        <x:v>RB</x:v>
      </x:c>
      <x:c r="D253" s="28" t="str">
        <x:v>ARI</x:v>
      </x:c>
      <x:c r="E253" s="81" t="n">
        <x:v>14</x:v>
      </x:c>
      <x:c r="F253" s="82" t="n">
        <x:v>173.2</x:v>
      </x:c>
      <x:c r="G253" s="82" t="n">
        <x:v>110</x:v>
      </x:c>
      <x:c r="H253" s="82" t="n">
        <x:v>206</x:v>
      </x:c>
      <x:c r="I253" s="82" t="n">
        <x:v>23.9</x:v>
      </x:c>
      <x:c r="J253" s="81" t="n">
        <x:v>19</x:v>
      </x:c>
      <x:c r="K253" s="81" t="n">
        <x:v>11</x:v>
      </x:c>
      <x:c r="L253" s="83" t="n">
        <x:f>MAX(0,MIN(100,100-((F253-1)/(MAX($F$5:$F$265)-1))*100))</x:f>
        <x:v>9.03328050713155</x:v>
      </x:c>
      <x:c r="M253" s="83" t="n">
        <x:f>MAX(0,MIN(100,50+(('Sources &amp; Model'!$B$4-F253)/('Sources &amp; Model'!$B$6*2.5))*45))</x:f>
        <x:v>0</x:v>
      </x:c>
      <x:c r="N253" s="83" t="n">
        <x:f>IF(V253="Mine",0,IF(OR(C253="RB",C253="WR"),MAX(30,62-COUNTIFS($C$5:$C$265,C253,$V$5:$V$265,"Mine")*5),IF(OR(C253="D/ST",C253="K"),IF('Sources &amp; Model'!$B$4&gt;='Sources &amp; Model'!$B$6*('Sources &amp; Model'!$B$8-2),62,12),IF(COUNTIFS($C$5:$C$265,C253,$V$5:$V$265,"Mine")=0,82,38))))</x:f>
        <x:v>62</x:v>
      </x:c>
      <x:c r="O253" s="65" t="n">
        <x:v>44.8</x:v>
      </x:c>
      <x:c r="P253" s="83" t="n">
        <x:f>MAX(0,MIN(100,100/(1+EXP(-(('Sources &amp; Model'!$B$5-F253)/MAX(2.5,I253))))))</x:f>
        <x:v>0.074229524369641</x:v>
      </x:c>
      <x:c r="Q253" s="65" t="n">
        <x:v>50</x:v>
      </x:c>
      <x:c r="R253" s="65" t="n">
        <x:v>52</x:v>
      </x:c>
      <x:c r="S253" s="65" t="n">
        <x:v>51.8</x:v>
      </x:c>
      <x:c r="T253" s="65" t="n">
        <x:v>50.6</x:v>
      </x:c>
      <x:c r="U253" s="84" t="n">
        <x:f>IF(V253&lt;&gt;"Available","",(L253*'Sources &amp; Model'!$B$13+M253*'Sources &amp; Model'!$B$14+N253*'Sources &amp; Model'!$B$15+O253*'Sources &amp; Model'!$B$16+P253*'Sources &amp; Model'!$B$17+Q253*'Sources &amp; Model'!$B$18+R253*'Sources &amp; Model'!$B$19+S253*'Sources &amp; Model'!$B$20+T253*'Sources &amp; Model'!$B$21)/SUM('Sources &amp; Model'!$B$13:$B$21))</x:f>
        <x:v>24.37673832486169</x:v>
      </x:c>
      <x:c r="V253" s="5" t="str">
        <x:v>Available</x:v>
      </x:c>
      <x:c r="W253" t="str">
        <x:v>https://help.fantasyfootballcalculator.com/article/42-adp-rest-api</x:v>
      </x:c>
    </x:row>
    <x:row r="254">
      <x:c r="A254" s="28" t="n">
        <x:v>250</x:v>
      </x:c>
      <x:c r="B254" s="28" t="str">
        <x:v>Blake Grupe</x:v>
      </x:c>
      <x:c r="C254" s="28" t="str">
        <x:v>K</x:v>
      </x:c>
      <x:c r="D254" s="28" t="str">
        <x:v>IND</x:v>
      </x:c>
      <x:c r="E254" s="81" t="n">
        <x:v>13</x:v>
      </x:c>
      <x:c r="F254" s="82" t="n">
        <x:v>173.5</x:v>
      </x:c>
      <x:c r="G254" s="82" t="n">
        <x:v>144</x:v>
      </x:c>
      <x:c r="H254" s="82" t="n">
        <x:v>210</x:v>
      </x:c>
      <x:c r="I254" s="82" t="n">
        <x:v>14.6</x:v>
      </x:c>
      <x:c r="J254" s="81" t="n">
        <x:v>16</x:v>
      </x:c>
      <x:c r="K254" s="81" t="n">
        <x:v>5</x:v>
      </x:c>
      <x:c r="L254" s="83" t="n">
        <x:f>MAX(0,MIN(100,100-((F254-1)/(MAX($F$5:$F$265)-1))*100))</x:f>
        <x:v>8.874801901743268</x:v>
      </x:c>
      <x:c r="M254" s="83" t="n">
        <x:f>MAX(0,MIN(100,50+(('Sources &amp; Model'!$B$4-F254)/('Sources &amp; Model'!$B$6*2.5))*45))</x:f>
        <x:v>0</x:v>
      </x:c>
      <x:c r="N254" s="83" t="n">
        <x:f>IF(V254="Mine",0,IF(OR(C254="RB",C254="WR"),MAX(30,62-COUNTIFS($C$5:$C$265,C254,$V$5:$V$265,"Mine")*5),IF(OR(C254="D/ST",C254="K"),IF('Sources &amp; Model'!$B$4&gt;='Sources &amp; Model'!$B$6*('Sources &amp; Model'!$B$8-2),62,12),IF(COUNTIFS($C$5:$C$265,C254,$V$5:$V$265,"Mine")=0,82,38))))</x:f>
        <x:v>12</x:v>
      </x:c>
      <x:c r="O254" s="65" t="n">
        <x:v>42</x:v>
      </x:c>
      <x:c r="P254" s="83" t="n">
        <x:f>MAX(0,MIN(100,100/(1+EXP(-(('Sources &amp; Model'!$B$5-F254)/MAX(2.5,I254))))))</x:f>
        <x:v>0.0007392268616694237</x:v>
      </x:c>
      <x:c r="Q254" s="65" t="n">
        <x:v>68</x:v>
      </x:c>
      <x:c r="R254" s="65" t="n">
        <x:v>92</x:v>
      </x:c>
      <x:c r="S254" s="65" t="n">
        <x:v>44.6</x:v>
      </x:c>
      <x:c r="T254" s="65" t="n">
        <x:v>50</x:v>
      </x:c>
      <x:c r="U254" s="84" t="n">
        <x:f>IF(V254&lt;&gt;"Available","",(L254*'Sources &amp; Model'!$B$13+M254*'Sources &amp; Model'!$B$14+N254*'Sources &amp; Model'!$B$15+O254*'Sources &amp; Model'!$B$16+P254*'Sources &amp; Model'!$B$17+Q254*'Sources &amp; Model'!$B$18+R254*'Sources &amp; Model'!$B$19+S254*'Sources &amp; Model'!$B$20+T254*'Sources &amp; Model'!$B$21)/SUM('Sources &amp; Model'!$B$13:$B$21))</x:f>
        <x:v>19.00950656927888</x:v>
      </x:c>
      <x:c r="V254" s="5" t="str">
        <x:v>Available</x:v>
      </x:c>
      <x:c r="W254" t="str">
        <x:v>https://help.fantasyfootballcalculator.com/article/42-adp-rest-api</x:v>
      </x:c>
    </x:row>
    <x:row r="255">
      <x:c r="A255" s="28" t="n">
        <x:v>251</x:v>
      </x:c>
      <x:c r="B255" s="28" t="str">
        <x:v>Samaje Perine</x:v>
      </x:c>
      <x:c r="C255" s="28" t="str">
        <x:v>RB</x:v>
      </x:c>
      <x:c r="D255" s="28" t="str">
        <x:v>CIN</x:v>
      </x:c>
      <x:c r="E255" s="81" t="n">
        <x:v>6</x:v>
      </x:c>
      <x:c r="F255" s="82" t="n">
        <x:v>173.7</x:v>
      </x:c>
      <x:c r="G255" s="82" t="n">
        <x:v>150</x:v>
      </x:c>
      <x:c r="H255" s="82" t="n">
        <x:v>196</x:v>
      </x:c>
      <x:c r="I255" s="82" t="n">
        <x:v>17</x:v>
      </x:c>
      <x:c r="J255" s="81" t="n">
        <x:v>7</x:v>
      </x:c>
      <x:c r="K255" s="81" t="n">
        <x:v>12</x:v>
      </x:c>
      <x:c r="L255" s="83" t="n">
        <x:f>MAX(0,MIN(100,100-((F255-1)/(MAX($F$5:$F$265)-1))*100))</x:f>
        <x:v>8.769149498151094</x:v>
      </x:c>
      <x:c r="M255" s="83" t="n">
        <x:f>MAX(0,MIN(100,50+(('Sources &amp; Model'!$B$4-F255)/('Sources &amp; Model'!$B$6*2.5))*45))</x:f>
        <x:v>0</x:v>
      </x:c>
      <x:c r="N255" s="83" t="n">
        <x:f>IF(V255="Mine",0,IF(OR(C255="RB",C255="WR"),MAX(30,62-COUNTIFS($C$5:$C$265,C255,$V$5:$V$265,"Mine")*5),IF(OR(C255="D/ST",C255="K"),IF('Sources &amp; Model'!$B$4&gt;='Sources &amp; Model'!$B$6*('Sources &amp; Model'!$B$8-2),62,12),IF(COUNTIFS($C$5:$C$265,C255,$V$5:$V$265,"Mine")=0,82,38))))</x:f>
        <x:v>62</x:v>
      </x:c>
      <x:c r="O255" s="65" t="n">
        <x:v>42</x:v>
      </x:c>
      <x:c r="P255" s="83" t="n">
        <x:f>MAX(0,MIN(100,100/(1+EXP(-(('Sources &amp; Model'!$B$5-F255)/MAX(2.5,I255))))))</x:f>
        <x:v>0.003873130921102241</x:v>
      </x:c>
      <x:c r="Q255" s="65" t="n">
        <x:v>68</x:v>
      </x:c>
      <x:c r="R255" s="65" t="n">
        <x:v>92</x:v>
      </x:c>
      <x:c r="S255" s="65" t="n">
        <x:v>40.2</x:v>
      </x:c>
      <x:c r="T255" s="65" t="n">
        <x:v>50.1</x:v>
      </x:c>
      <x:c r="U255" s="84" t="n">
        <x:f>IF(V255&lt;&gt;"Available","",(L255*'Sources &amp; Model'!$B$13+M255*'Sources &amp; Model'!$B$14+N255*'Sources &amp; Model'!$B$15+O255*'Sources &amp; Model'!$B$16+P255*'Sources &amp; Model'!$B$17+Q255*'Sources &amp; Model'!$B$18+R255*'Sources &amp; Model'!$B$19+S255*'Sources &amp; Model'!$B$20+T255*'Sources &amp; Model'!$B$21)/SUM('Sources &amp; Model'!$B$13:$B$21))</x:f>
        <x:v>26.386898142463483</x:v>
      </x:c>
      <x:c r="V255" s="5" t="str">
        <x:v>Available</x:v>
      </x:c>
      <x:c r="W255" t="str">
        <x:v>https://help.fantasyfootballcalculator.com/article/42-adp-rest-api</x:v>
      </x:c>
    </x:row>
    <x:row r="256">
      <x:c r="A256" s="28" t="n">
        <x:v>252</x:v>
      </x:c>
      <x:c r="B256" s="28" t="str">
        <x:v>Dontayvion Wicks</x:v>
      </x:c>
      <x:c r="C256" s="28" t="str">
        <x:v>WR</x:v>
      </x:c>
      <x:c r="D256" s="28" t="str">
        <x:v>PHI</x:v>
      </x:c>
      <x:c r="E256" s="81" t="n">
        <x:v>10</x:v>
      </x:c>
      <x:c r="F256" s="82" t="n">
        <x:v>173.8</x:v>
      </x:c>
      <x:c r="G256" s="82" t="n">
        <x:v>127</x:v>
      </x:c>
      <x:c r="H256" s="82" t="n">
        <x:v>210</x:v>
      </x:c>
      <x:c r="I256" s="82" t="n">
        <x:v>17.9</x:v>
      </x:c>
      <x:c r="J256" s="81" t="n">
        <x:v>89</x:v>
      </x:c>
      <x:c r="K256" s="81" t="n">
        <x:v>11</x:v>
      </x:c>
      <x:c r="L256" s="83" t="n">
        <x:f>MAX(0,MIN(100,100-((F256-1)/(MAX($F$5:$F$265)-1))*100))</x:f>
        <x:v>8.716323296354986</x:v>
      </x:c>
      <x:c r="M256" s="83" t="n">
        <x:f>MAX(0,MIN(100,50+(('Sources &amp; Model'!$B$4-F256)/('Sources &amp; Model'!$B$6*2.5))*45))</x:f>
        <x:v>0</x:v>
      </x:c>
      <x:c r="N256" s="83" t="n">
        <x:f>IF(V256="Mine",0,IF(OR(C256="RB",C256="WR"),MAX(30,62-COUNTIFS($C$5:$C$265,C256,$V$5:$V$265,"Mine")*5),IF(OR(C256="D/ST",C256="K"),IF('Sources &amp; Model'!$B$4&gt;='Sources &amp; Model'!$B$6*('Sources &amp; Model'!$B$8-2),62,12),IF(COUNTIFS($C$5:$C$265,C256,$V$5:$V$265,"Mine")=0,82,38))))</x:f>
        <x:v>62</x:v>
      </x:c>
      <x:c r="O256" s="65" t="n">
        <x:v>52.4</x:v>
      </x:c>
      <x:c r="P256" s="83" t="n">
        <x:f>MAX(0,MIN(100,100/(1+EXP(-(('Sources &amp; Model'!$B$5-F256)/MAX(2.5,I256))))))</x:f>
        <x:v>0.006418792334208142</x:v>
      </x:c>
      <x:c r="Q256" s="65" t="n">
        <x:v>50</x:v>
      </x:c>
      <x:c r="R256" s="65" t="n">
        <x:v>92</x:v>
      </x:c>
      <x:c r="S256" s="65" t="n">
        <x:v>29.7</x:v>
      </x:c>
      <x:c r="T256" s="65" t="n">
        <x:v>49.6</x:v>
      </x:c>
      <x:c r="U256" s="84" t="n">
        <x:f>IF(V256&lt;&gt;"Available","",(L256*'Sources &amp; Model'!$B$13+M256*'Sources &amp; Model'!$B$14+N256*'Sources &amp; Model'!$B$15+O256*'Sources &amp; Model'!$B$16+P256*'Sources &amp; Model'!$B$17+Q256*'Sources &amp; Model'!$B$18+R256*'Sources &amp; Model'!$B$19+S256*'Sources &amp; Model'!$B$20+T256*'Sources &amp; Model'!$B$21)/SUM('Sources &amp; Model'!$B$13:$B$21))</x:f>
        <x:v>26.322191799994116</x:v>
      </x:c>
      <x:c r="V256" s="5" t="str">
        <x:v>Available</x:v>
      </x:c>
      <x:c r="W256" t="str">
        <x:v>https://help.fantasyfootballcalculator.com/article/42-adp-rest-api</x:v>
      </x:c>
    </x:row>
    <x:row r="257">
      <x:c r="A257" s="28" t="n">
        <x:v>253</x:v>
      </x:c>
      <x:c r="B257" s="28" t="str">
        <x:v>Christian Kirk</x:v>
      </x:c>
      <x:c r="C257" s="28" t="str">
        <x:v>WR</x:v>
      </x:c>
      <x:c r="D257" s="28" t="str">
        <x:v>SF</x:v>
      </x:c>
      <x:c r="E257" s="81" t="n">
        <x:v>8</x:v>
      </x:c>
      <x:c r="F257" s="82" t="n">
        <x:v>175.7</x:v>
      </x:c>
      <x:c r="G257" s="82" t="n">
        <x:v>112</x:v>
      </x:c>
      <x:c r="H257" s="82" t="n">
        <x:v>209</x:v>
      </x:c>
      <x:c r="I257" s="82" t="n">
        <x:v>33.9</x:v>
      </x:c>
      <x:c r="J257" s="81" t="n">
        <x:v>7</x:v>
      </x:c>
      <x:c r="K257" s="81" t="n">
        <x:v>12</x:v>
      </x:c>
      <x:c r="L257" s="83" t="n">
        <x:f>MAX(0,MIN(100,100-((F257-1)/(MAX($F$5:$F$265)-1))*100))</x:f>
        <x:v>7.712625462229269</x:v>
      </x:c>
      <x:c r="M257" s="83" t="n">
        <x:f>MAX(0,MIN(100,50+(('Sources &amp; Model'!$B$4-F257)/('Sources &amp; Model'!$B$6*2.5))*45))</x:f>
        <x:v>0</x:v>
      </x:c>
      <x:c r="N257" s="83" t="n">
        <x:f>IF(V257="Mine",0,IF(OR(C257="RB",C257="WR"),MAX(30,62-COUNTIFS($C$5:$C$265,C257,$V$5:$V$265,"Mine")*5),IF(OR(C257="D/ST",C257="K"),IF('Sources &amp; Model'!$B$4&gt;='Sources &amp; Model'!$B$6*('Sources &amp; Model'!$B$8-2),62,12),IF(COUNTIFS($C$5:$C$265,C257,$V$5:$V$265,"Mine")=0,82,38))))</x:f>
        <x:v>62</x:v>
      </x:c>
      <x:c r="O257" s="65" t="n">
        <x:v>54.1</x:v>
      </x:c>
      <x:c r="P257" s="83" t="n">
        <x:f>MAX(0,MIN(100,100/(1+EXP(-(('Sources &amp; Model'!$B$5-F257)/MAX(2.5,I257))))))</x:f>
        <x:v>0.5746550850820233</x:v>
      </x:c>
      <x:c r="Q257" s="65" t="n">
        <x:v>35</x:v>
      </x:c>
      <x:c r="R257" s="65" t="n">
        <x:v>52</x:v>
      </x:c>
      <x:c r="S257" s="65" t="n">
        <x:v>39.3</x:v>
      </x:c>
      <x:c r="T257" s="65" t="n">
        <x:v>50</x:v>
      </x:c>
      <x:c r="U257" s="84" t="n">
        <x:f>IF(V257&lt;&gt;"Available","",(L257*'Sources &amp; Model'!$B$13+M257*'Sources &amp; Model'!$B$14+N257*'Sources &amp; Model'!$B$15+O257*'Sources &amp; Model'!$B$16+P257*'Sources &amp; Model'!$B$17+Q257*'Sources &amp; Model'!$B$18+R257*'Sources &amp; Model'!$B$19+S257*'Sources &amp; Model'!$B$20+T257*'Sources &amp; Model'!$B$21)/SUM('Sources &amp; Model'!$B$13:$B$21))</x:f>
        <x:v>23.93775816566615</x:v>
      </x:c>
      <x:c r="V257" s="5" t="str">
        <x:v>Available</x:v>
      </x:c>
      <x:c r="W257" t="str">
        <x:v>https://help.fantasyfootballcalculator.com/article/42-adp-rest-api</x:v>
      </x:c>
    </x:row>
    <x:row r="258">
      <x:c r="A258" s="28" t="n">
        <x:v>254</x:v>
      </x:c>
      <x:c r="B258" s="28" t="str">
        <x:v>KC Defense</x:v>
      </x:c>
      <x:c r="C258" s="28" t="str">
        <x:v>D/ST</x:v>
      </x:c>
      <x:c r="D258" s="28" t="str">
        <x:v>KC</x:v>
      </x:c>
      <x:c r="E258" s="81" t="n">
        <x:v>5</x:v>
      </x:c>
      <x:c r="F258" s="82" t="n">
        <x:v>177.8</x:v>
      </x:c>
      <x:c r="G258" s="82" t="n">
        <x:v>145</x:v>
      </x:c>
      <x:c r="H258" s="82" t="n">
        <x:v>206</x:v>
      </x:c>
      <x:c r="I258" s="82" t="n">
        <x:v>26</x:v>
      </x:c>
      <x:c r="J258" s="81" t="n">
        <x:v>5</x:v>
      </x:c>
      <x:c r="K258" s="81" t="n">
        <x:v>6</x:v>
      </x:c>
      <x:c r="L258" s="83" t="n">
        <x:f>MAX(0,MIN(100,100-((F258-1)/(MAX($F$5:$F$265)-1))*100))</x:f>
        <x:v>6.603275224511364</x:v>
      </x:c>
      <x:c r="M258" s="83" t="n">
        <x:f>MAX(0,MIN(100,50+(('Sources &amp; Model'!$B$4-F258)/('Sources &amp; Model'!$B$6*2.5))*45))</x:f>
        <x:v>0</x:v>
      </x:c>
      <x:c r="N258" s="83" t="n">
        <x:f>IF(V258="Mine",0,IF(OR(C258="RB",C258="WR"),MAX(30,62-COUNTIFS($C$5:$C$265,C258,$V$5:$V$265,"Mine")*5),IF(OR(C258="D/ST",C258="K"),IF('Sources &amp; Model'!$B$4&gt;='Sources &amp; Model'!$B$6*('Sources &amp; Model'!$B$8-2),62,12),IF(COUNTIFS($C$5:$C$265,C258,$V$5:$V$265,"Mine")=0,82,38))))</x:f>
        <x:v>12</x:v>
      </x:c>
      <x:c r="O258" s="65" t="n">
        <x:v>44.2</x:v>
      </x:c>
      <x:c r="P258" s="83" t="n">
        <x:f>MAX(0,MIN(100,100/(1+EXP(-(('Sources &amp; Model'!$B$5-F258)/MAX(2.5,I258))))))</x:f>
        <x:v>0.11125360328603207</x:v>
      </x:c>
      <x:c r="Q258" s="65" t="n">
        <x:v>68</x:v>
      </x:c>
      <x:c r="R258" s="65" t="n">
        <x:v>92</x:v>
      </x:c>
      <x:c r="S258" s="65" t="n">
        <x:v>41.3</x:v>
      </x:c>
      <x:c r="T258" s="65" t="n">
        <x:v>50</x:v>
      </x:c>
      <x:c r="U258" s="84" t="n">
        <x:f>IF(V258&lt;&gt;"Available","",(L258*'Sources &amp; Model'!$B$13+M258*'Sources &amp; Model'!$B$14+N258*'Sources &amp; Model'!$B$15+O258*'Sources &amp; Model'!$B$16+P258*'Sources &amp; Model'!$B$17+Q258*'Sources &amp; Model'!$B$18+R258*'Sources &amp; Model'!$B$19+S258*'Sources &amp; Model'!$B$20+T258*'Sources &amp; Model'!$B$21)/SUM('Sources &amp; Model'!$B$13:$B$21))</x:f>
        <x:v>18.446238936662468</x:v>
      </x:c>
      <x:c r="V258" s="5" t="str">
        <x:v>Available</x:v>
      </x:c>
      <x:c r="W258" t="str">
        <x:v>https://help.fantasyfootballcalculator.com/article/42-adp-rest-api</x:v>
      </x:c>
    </x:row>
    <x:row r="259">
      <x:c r="A259" s="28" t="n">
        <x:v>255</x:v>
      </x:c>
      <x:c r="B259" s="28" t="str">
        <x:v>Isaac TeSlaa</x:v>
      </x:c>
      <x:c r="C259" s="28" t="str">
        <x:v>WR</x:v>
      </x:c>
      <x:c r="D259" s="28" t="str">
        <x:v>DET</x:v>
      </x:c>
      <x:c r="E259" s="81" t="n">
        <x:v>6</x:v>
      </x:c>
      <x:c r="F259" s="82" t="n">
        <x:v>177.9</x:v>
      </x:c>
      <x:c r="G259" s="82" t="n">
        <x:v>145</x:v>
      </x:c>
      <x:c r="H259" s="82" t="n">
        <x:v>210</x:v>
      </x:c>
      <x:c r="I259" s="82" t="n">
        <x:v>24.5</x:v>
      </x:c>
      <x:c r="J259" s="81" t="n">
        <x:v>18</x:v>
      </x:c>
      <x:c r="K259" s="81" t="n">
        <x:v>12</x:v>
      </x:c>
      <x:c r="L259" s="83" t="n">
        <x:f>MAX(0,MIN(100,100-((F259-1)/(MAX($F$5:$F$265)-1))*100))</x:f>
        <x:v>6.55044902271527</x:v>
      </x:c>
      <x:c r="M259" s="83" t="n">
        <x:f>MAX(0,MIN(100,50+(('Sources &amp; Model'!$B$4-F259)/('Sources &amp; Model'!$B$6*2.5))*45))</x:f>
        <x:v>0</x:v>
      </x:c>
      <x:c r="N259" s="83" t="n">
        <x:f>IF(V259="Mine",0,IF(OR(C259="RB",C259="WR"),MAX(30,62-COUNTIFS($C$5:$C$265,C259,$V$5:$V$265,"Mine")*5),IF(OR(C259="D/ST",C259="K"),IF('Sources &amp; Model'!$B$4&gt;='Sources &amp; Model'!$B$6*('Sources &amp; Model'!$B$8-2),62,12),IF(COUNTIFS($C$5:$C$265,C259,$V$5:$V$265,"Mine")=0,82,38))))</x:f>
        <x:v>62</x:v>
      </x:c>
      <x:c r="O259" s="65" t="n">
        <x:v>78.3</x:v>
      </x:c>
      <x:c r="P259" s="83" t="n">
        <x:f>MAX(0,MIN(100,100/(1+EXP(-(('Sources &amp; Model'!$B$5-F259)/MAX(2.5,I259))))))</x:f>
        <x:v>0.0730969078317984</x:v>
      </x:c>
      <x:c r="Q259" s="65" t="n">
        <x:v>50</x:v>
      </x:c>
      <x:c r="R259" s="65" t="n">
        <x:v>92</x:v>
      </x:c>
      <x:c r="S259" s="65" t="n">
        <x:v>45.2</x:v>
      </x:c>
      <x:c r="T259" s="65" t="n">
        <x:v>50</x:v>
      </x:c>
      <x:c r="U259" s="84" t="n">
        <x:f>IF(V259&lt;&gt;"Available","",(L259*'Sources &amp; Model'!$B$13+M259*'Sources &amp; Model'!$B$14+N259*'Sources &amp; Model'!$B$15+O259*'Sources &amp; Model'!$B$16+P259*'Sources &amp; Model'!$B$17+Q259*'Sources &amp; Model'!$B$18+R259*'Sources &amp; Model'!$B$19+S259*'Sources &amp; Model'!$B$20+T259*'Sources &amp; Model'!$B$21)/SUM('Sources &amp; Model'!$B$13:$B$21))</x:f>
        <x:v>29.01446235850637</x:v>
      </x:c>
      <x:c r="V259" s="5" t="str">
        <x:v>Available</x:v>
      </x:c>
      <x:c r="W259" t="str">
        <x:v>https://help.fantasyfootballcalculator.com/article/42-adp-rest-api</x:v>
      </x:c>
    </x:row>
    <x:row r="260">
      <x:c r="A260" s="28" t="n">
        <x:v>256</x:v>
      </x:c>
      <x:c r="B260" s="28" t="str">
        <x:v>CIN Defense</x:v>
      </x:c>
      <x:c r="C260" s="28" t="str">
        <x:v>D/ST</x:v>
      </x:c>
      <x:c r="D260" s="28" t="str">
        <x:v>CIN</x:v>
      </x:c>
      <x:c r="E260" s="81" t="n">
        <x:v>6</x:v>
      </x:c>
      <x:c r="F260" s="82" t="n">
        <x:v>178.2</x:v>
      </x:c>
      <x:c r="G260" s="82" t="n">
        <x:v>146</x:v>
      </x:c>
      <x:c r="H260" s="82" t="n">
        <x:v>209</x:v>
      </x:c>
      <x:c r="I260" s="82" t="n">
        <x:v>16.5</x:v>
      </x:c>
      <x:c r="J260" s="81" t="n">
        <x:v>26</x:v>
      </x:c>
      <x:c r="K260" s="81" t="n">
        <x:v>6</x:v>
      </x:c>
      <x:c r="L260" s="83" t="n">
        <x:f>MAX(0,MIN(100,100-((F260-1)/(MAX($F$5:$F$265)-1))*100))</x:f>
        <x:v>6.391970417327002</x:v>
      </x:c>
      <x:c r="M260" s="83" t="n">
        <x:f>MAX(0,MIN(100,50+(('Sources &amp; Model'!$B$4-F260)/('Sources &amp; Model'!$B$6*2.5))*45))</x:f>
        <x:v>0</x:v>
      </x:c>
      <x:c r="N260" s="83" t="n">
        <x:f>IF(V260="Mine",0,IF(OR(C260="RB",C260="WR"),MAX(30,62-COUNTIFS($C$5:$C$265,C260,$V$5:$V$265,"Mine")*5),IF(OR(C260="D/ST",C260="K"),IF('Sources &amp; Model'!$B$4&gt;='Sources &amp; Model'!$B$6*('Sources &amp; Model'!$B$8-2),62,12),IF(COUNTIFS($C$5:$C$265,C260,$V$5:$V$265,"Mine")=0,82,38))))</x:f>
        <x:v>12</x:v>
      </x:c>
      <x:c r="O260" s="65" t="n">
        <x:v>51.9</x:v>
      </x:c>
      <x:c r="P260" s="83" t="n">
        <x:f>MAX(0,MIN(100,100/(1+EXP(-(('Sources &amp; Model'!$B$5-F260)/MAX(2.5,I260))))))</x:f>
        <x:v>0.002167360031853027</x:v>
      </x:c>
      <x:c r="Q260" s="65" t="n">
        <x:v>68</x:v>
      </x:c>
      <x:c r="R260" s="65" t="n">
        <x:v>92</x:v>
      </x:c>
      <x:c r="S260" s="65" t="n">
        <x:v>40.2</x:v>
      </x:c>
      <x:c r="T260" s="65" t="n">
        <x:v>50</x:v>
      </x:c>
      <x:c r="U260" s="84" t="n">
        <x:f>IF(V260&lt;&gt;"Available","",(L260*'Sources &amp; Model'!$B$13+M260*'Sources &amp; Model'!$B$14+N260*'Sources &amp; Model'!$B$15+O260*'Sources &amp; Model'!$B$16+P260*'Sources &amp; Model'!$B$17+Q260*'Sources &amp; Model'!$B$18+R260*'Sources &amp; Model'!$B$19+S260*'Sources &amp; Model'!$B$20+T260*'Sources &amp; Model'!$B$21)/SUM('Sources &amp; Model'!$B$13:$B$21))</x:f>
        <x:v>19.265486677894366</x:v>
      </x:c>
      <x:c r="V260" s="5" t="str">
        <x:v>Available</x:v>
      </x:c>
      <x:c r="W260" t="str">
        <x:v>https://help.fantasyfootballcalculator.com/article/42-adp-rest-api</x:v>
      </x:c>
    </x:row>
    <x:row r="261">
      <x:c r="A261" s="28" t="n">
        <x:v>257</x:v>
      </x:c>
      <x:c r="B261" s="28" t="str">
        <x:v>Pat Freiermuth</x:v>
      </x:c>
      <x:c r="C261" s="28" t="str">
        <x:v>TE</x:v>
      </x:c>
      <x:c r="D261" s="28" t="str">
        <x:v>PIT</x:v>
      </x:c>
      <x:c r="E261" s="81" t="n">
        <x:v>9</x:v>
      </x:c>
      <x:c r="F261" s="82" t="n">
        <x:v>178.2</x:v>
      </x:c>
      <x:c r="G261" s="82" t="n">
        <x:v>134</x:v>
      </x:c>
      <x:c r="H261" s="82" t="n">
        <x:v>205</x:v>
      </x:c>
      <x:c r="I261" s="82" t="n">
        <x:v>26.9</x:v>
      </x:c>
      <x:c r="J261" s="81" t="n">
        <x:v>6</x:v>
      </x:c>
      <x:c r="K261" s="81" t="n">
        <x:v>8</x:v>
      </x:c>
      <x:c r="L261" s="83" t="n">
        <x:f>MAX(0,MIN(100,100-((F261-1)/(MAX($F$5:$F$265)-1))*100))</x:f>
        <x:v>6.391970417327002</x:v>
      </x:c>
      <x:c r="M261" s="83" t="n">
        <x:f>MAX(0,MIN(100,50+(('Sources &amp; Model'!$B$4-F261)/('Sources &amp; Model'!$B$6*2.5))*45))</x:f>
        <x:v>0</x:v>
      </x:c>
      <x:c r="N261" s="83" t="n">
        <x:f>IF(V261="Mine",0,IF(OR(C261="RB",C261="WR"),MAX(30,62-COUNTIFS($C$5:$C$265,C261,$V$5:$V$265,"Mine")*5),IF(OR(C261="D/ST",C261="K"),IF('Sources &amp; Model'!$B$4&gt;='Sources &amp; Model'!$B$6*('Sources &amp; Model'!$B$8-2),62,12),IF(COUNTIFS($C$5:$C$265,C261,$V$5:$V$265,"Mine")=0,82,38))))</x:f>
        <x:v>82</x:v>
      </x:c>
      <x:c r="O261" s="65" t="n">
        <x:v>42</x:v>
      </x:c>
      <x:c r="P261" s="83" t="n">
        <x:f>MAX(0,MIN(100,100/(1+EXP(-(('Sources &amp; Model'!$B$5-F261)/MAX(2.5,I261))))))</x:f>
        <x:v>0.13757760348640213</x:v>
      </x:c>
      <x:c r="Q261" s="65" t="n">
        <x:v>90</x:v>
      </x:c>
      <x:c r="R261" s="65" t="n">
        <x:v>92</x:v>
      </x:c>
      <x:c r="S261" s="65" t="n">
        <x:v>33.7</x:v>
      </x:c>
      <x:c r="T261" s="65" t="n">
        <x:v>49.5</x:v>
      </x:c>
      <x:c r="U261" s="84" t="n">
        <x:f>IF(V261&lt;&gt;"Available","",(L261*'Sources &amp; Model'!$B$13+M261*'Sources &amp; Model'!$B$14+N261*'Sources &amp; Model'!$B$15+O261*'Sources &amp; Model'!$B$16+P261*'Sources &amp; Model'!$B$17+Q261*'Sources &amp; Model'!$B$18+R261*'Sources &amp; Model'!$B$19+S261*'Sources &amp; Model'!$B$20+T261*'Sources &amp; Model'!$B$21)/SUM('Sources &amp; Model'!$B$13:$B$21))</x:f>
        <x:v>29.776027702239823</x:v>
      </x:c>
      <x:c r="V261" s="5" t="str">
        <x:v>Available</x:v>
      </x:c>
      <x:c r="W261" t="str">
        <x:v>https://help.fantasyfootballcalculator.com/article/42-adp-rest-api</x:v>
      </x:c>
    </x:row>
    <x:row r="262">
      <x:c r="A262" s="28" t="n">
        <x:v>258</x:v>
      </x:c>
      <x:c r="B262" s="28" t="str">
        <x:v>MIA Defense</x:v>
      </x:c>
      <x:c r="C262" s="28" t="str">
        <x:v>D/ST</x:v>
      </x:c>
      <x:c r="D262" s="28" t="str">
        <x:v>MIA</x:v>
      </x:c>
      <x:c r="E262" s="81" t="n">
        <x:v>6</x:v>
      </x:c>
      <x:c r="F262" s="82" t="n">
        <x:v>180</x:v>
      </x:c>
      <x:c r="G262" s="82" t="n">
        <x:v>159</x:v>
      </x:c>
      <x:c r="H262" s="82" t="n">
        <x:v>205</x:v>
      </x:c>
      <x:c r="I262" s="82" t="n">
        <x:v>12.5</x:v>
      </x:c>
      <x:c r="J262" s="81" t="n">
        <x:v>11</x:v>
      </x:c>
      <x:c r="K262" s="81" t="n">
        <x:v>6</x:v>
      </x:c>
      <x:c r="L262" s="83" t="n">
        <x:f>MAX(0,MIN(100,100-((F262-1)/(MAX($F$5:$F$265)-1))*100))</x:f>
        <x:v>5.441098784997365</x:v>
      </x:c>
      <x:c r="M262" s="83" t="n">
        <x:f>MAX(0,MIN(100,50+(('Sources &amp; Model'!$B$4-F262)/('Sources &amp; Model'!$B$6*2.5))*45))</x:f>
        <x:v>0</x:v>
      </x:c>
      <x:c r="N262" s="83" t="n">
        <x:f>IF(V262="Mine",0,IF(OR(C262="RB",C262="WR"),MAX(30,62-COUNTIFS($C$5:$C$265,C262,$V$5:$V$265,"Mine")*5),IF(OR(C262="D/ST",C262="K"),IF('Sources &amp; Model'!$B$4&gt;='Sources &amp; Model'!$B$6*('Sources &amp; Model'!$B$8-2),62,12),IF(COUNTIFS($C$5:$C$265,C262,$V$5:$V$265,"Mine")=0,82,38))))</x:f>
        <x:v>12</x:v>
      </x:c>
      <x:c r="O262" s="65" t="n">
        <x:v>80.5</x:v>
      </x:c>
      <x:c r="P262" s="83" t="n">
        <x:f>MAX(0,MIN(100,100/(1+EXP(-(('Sources &amp; Model'!$B$5-F262)/MAX(2.5,I262))))))</x:f>
        <x:v>0.00006038134140853161</x:v>
      </x:c>
      <x:c r="Q262" s="65" t="n">
        <x:v>68</x:v>
      </x:c>
      <x:c r="R262" s="65" t="n">
        <x:v>92</x:v>
      </x:c>
      <x:c r="S262" s="65" t="n">
        <x:v>50.9</x:v>
      </x:c>
      <x:c r="T262" s="65" t="n">
        <x:v>50</x:v>
      </x:c>
      <x:c r="U262" s="84" t="n">
        <x:f>IF(V262&lt;&gt;"Available","",(L262*'Sources &amp; Model'!$B$13+M262*'Sources &amp; Model'!$B$14+N262*'Sources &amp; Model'!$B$15+O262*'Sources &amp; Model'!$B$16+P262*'Sources &amp; Model'!$B$17+Q262*'Sources &amp; Model'!$B$18+R262*'Sources &amp; Model'!$B$19+S262*'Sources &amp; Model'!$B$20+T262*'Sources &amp; Model'!$B$21)/SUM('Sources &amp; Model'!$B$13:$B$21))</x:f>
        <x:v>22.58797962503325</x:v>
      </x:c>
      <x:c r="V262" s="5" t="str">
        <x:v>Available</x:v>
      </x:c>
      <x:c r="W262" t="str">
        <x:v>https://help.fantasyfootballcalculator.com/article/42-adp-rest-api</x:v>
      </x:c>
    </x:row>
    <x:row r="263">
      <x:c r="A263" s="28" t="n">
        <x:v>259</x:v>
      </x:c>
      <x:c r="B263" s="28" t="str">
        <x:v>Caleb Douglas</x:v>
      </x:c>
      <x:c r="C263" s="28" t="str">
        <x:v>WR</x:v>
      </x:c>
      <x:c r="D263" s="28" t="str">
        <x:v>MIA</x:v>
      </x:c>
      <x:c r="E263" s="81" t="n">
        <x:v>6</x:v>
      </x:c>
      <x:c r="F263" s="82" t="n">
        <x:v>184.5</x:v>
      </x:c>
      <x:c r="G263" s="82" t="n">
        <x:v>149</x:v>
      </x:c>
      <x:c r="H263" s="82" t="n">
        <x:v>207</x:v>
      </x:c>
      <x:c r="I263" s="82" t="n">
        <x:v>20</x:v>
      </x:c>
      <x:c r="J263" s="81" t="n">
        <x:v>14</x:v>
      </x:c>
      <x:c r="K263" s="81" t="n">
        <x:v>12</x:v>
      </x:c>
      <x:c r="L263" s="83" t="n">
        <x:f>MAX(0,MIN(100,100-((F263-1)/(MAX($F$5:$F$265)-1))*100))</x:f>
        <x:v>3.063919704173273</x:v>
      </x:c>
      <x:c r="M263" s="83" t="n">
        <x:f>MAX(0,MIN(100,50+(('Sources &amp; Model'!$B$4-F263)/('Sources &amp; Model'!$B$6*2.5))*45))</x:f>
        <x:v>0</x:v>
      </x:c>
      <x:c r="N263" s="83" t="n">
        <x:f>IF(V263="Mine",0,IF(OR(C263="RB",C263="WR"),MAX(30,62-COUNTIFS($C$5:$C$265,C263,$V$5:$V$265,"Mine")*5),IF(OR(C263="D/ST",C263="K"),IF('Sources &amp; Model'!$B$4&gt;='Sources &amp; Model'!$B$6*('Sources &amp; Model'!$B$8-2),62,12),IF(COUNTIFS($C$5:$C$265,C263,$V$5:$V$265,"Mine")=0,82,38))))</x:f>
        <x:v>62</x:v>
      </x:c>
      <x:c r="O263" s="65" t="n">
        <x:v>73.9</x:v>
      </x:c>
      <x:c r="P263" s="83" t="n">
        <x:f>MAX(0,MIN(100,100/(1+EXP(-(('Sources &amp; Model'!$B$5-F263)/MAX(2.5,I263))))))</x:f>
        <x:v>0.010358649519871291</x:v>
      </x:c>
      <x:c r="Q263" s="65" t="n">
        <x:v>35</x:v>
      </x:c>
      <x:c r="R263" s="65" t="n">
        <x:v>92</x:v>
      </x:c>
      <x:c r="S263" s="65" t="n">
        <x:v>50.9</x:v>
      </x:c>
      <x:c r="T263" s="65" t="n">
        <x:v>50</x:v>
      </x:c>
      <x:c r="U263" s="84" t="n">
        <x:f>IF(V263&lt;&gt;"Available","",(L263*'Sources &amp; Model'!$B$13+M263*'Sources &amp; Model'!$B$14+N263*'Sources &amp; Model'!$B$15+O263*'Sources &amp; Model'!$B$16+P263*'Sources &amp; Model'!$B$17+Q263*'Sources &amp; Model'!$B$18+R263*'Sources &amp; Model'!$B$19+S263*'Sources &amp; Model'!$B$20+T263*'Sources &amp; Model'!$B$21)/SUM('Sources &amp; Model'!$B$13:$B$21))</x:f>
        <x:v>26.508768564370904</x:v>
      </x:c>
      <x:c r="V263" s="5" t="str">
        <x:v>Available</x:v>
      </x:c>
      <x:c r="W263" t="str">
        <x:v>https://help.fantasyfootballcalculator.com/article/42-adp-rest-api</x:v>
      </x:c>
    </x:row>
    <x:row r="264">
      <x:c r="A264" s="28" t="n">
        <x:v>260</x:v>
      </x:c>
      <x:c r="B264" s="28" t="str">
        <x:v>WAS Defense</x:v>
      </x:c>
      <x:c r="C264" s="28" t="str">
        <x:v>D/ST</x:v>
      </x:c>
      <x:c r="D264" s="28" t="str">
        <x:v>WAS</x:v>
      </x:c>
      <x:c r="E264" s="81" t="n">
        <x:v>7</x:v>
      </x:c>
      <x:c r="F264" s="82" t="n">
        <x:v>187</x:v>
      </x:c>
      <x:c r="G264" s="82" t="n">
        <x:v>161</x:v>
      </x:c>
      <x:c r="H264" s="82" t="n">
        <x:v>210</x:v>
      </x:c>
      <x:c r="I264" s="82" t="n">
        <x:v>19.1</x:v>
      </x:c>
      <x:c r="J264" s="81" t="n">
        <x:v>10</x:v>
      </x:c>
      <x:c r="K264" s="81" t="n">
        <x:v>7</x:v>
      </x:c>
      <x:c r="L264" s="83" t="n">
        <x:f>MAX(0,MIN(100,100-((F264-1)/(MAX($F$5:$F$265)-1))*100))</x:f>
        <x:v>1.7432646592710057</x:v>
      </x:c>
      <x:c r="M264" s="83" t="n">
        <x:f>MAX(0,MIN(100,50+(('Sources &amp; Model'!$B$4-F264)/('Sources &amp; Model'!$B$6*2.5))*45))</x:f>
        <x:v>0</x:v>
      </x:c>
      <x:c r="N264" s="83" t="n">
        <x:f>IF(V264="Mine",0,IF(OR(C264="RB",C264="WR"),MAX(30,62-COUNTIFS($C$5:$C$265,C264,$V$5:$V$265,"Mine")*5),IF(OR(C264="D/ST",C264="K"),IF('Sources &amp; Model'!$B$4&gt;='Sources &amp; Model'!$B$6*('Sources &amp; Model'!$B$8-2),62,12),IF(COUNTIFS($C$5:$C$265,C264,$V$5:$V$265,"Mine")=0,82,38))))</x:f>
        <x:v>12</x:v>
      </x:c>
      <x:c r="O264" s="65" t="n">
        <x:v>42</x:v>
      </x:c>
      <x:c r="P264" s="83" t="n">
        <x:f>MAX(0,MIN(100,100/(1+EXP(-(('Sources &amp; Model'!$B$5-F264)/MAX(2.5,I264))))))</x:f>
        <x:v>0.0058981962626778175</x:v>
      </x:c>
      <x:c r="Q264" s="65" t="n">
        <x:v>68</x:v>
      </x:c>
      <x:c r="R264" s="65" t="n">
        <x:v>92</x:v>
      </x:c>
      <x:c r="S264" s="65" t="n">
        <x:v>41.1</x:v>
      </x:c>
      <x:c r="T264" s="65" t="n">
        <x:v>50</x:v>
      </x:c>
      <x:c r="U264" s="84" t="n">
        <x:f>IF(V264&lt;&gt;"Available","",(L264*'Sources &amp; Model'!$B$13+M264*'Sources &amp; Model'!$B$14+N264*'Sources &amp; Model'!$B$15+O264*'Sources &amp; Model'!$B$16+P264*'Sources &amp; Model'!$B$17+Q264*'Sources &amp; Model'!$B$18+R264*'Sources &amp; Model'!$B$19+S264*'Sources &amp; Model'!$B$20+T264*'Sources &amp; Model'!$B$21)/SUM('Sources &amp; Model'!$B$13:$B$21))</x:f>
        <x:v>16.515299803778408</x:v>
      </x:c>
      <x:c r="V264" s="5" t="str">
        <x:v>Available</x:v>
      </x:c>
      <x:c r="W264" t="str">
        <x:v>https://help.fantasyfootballcalculator.com/article/42-adp-rest-api</x:v>
      </x:c>
    </x:row>
    <x:row r="265">
      <x:c r="A265" s="28" t="n">
        <x:v>261</x:v>
      </x:c>
      <x:c r="B265" s="28" t="str">
        <x:v>Darnell Mooney</x:v>
      </x:c>
      <x:c r="C265" s="28" t="str">
        <x:v>WR</x:v>
      </x:c>
      <x:c r="D265" s="28" t="str">
        <x:v>NYG</x:v>
      </x:c>
      <x:c r="E265" s="81" t="n">
        <x:v>8</x:v>
      </x:c>
      <x:c r="F265" s="82" t="n">
        <x:v>190.3</x:v>
      </x:c>
      <x:c r="G265" s="82" t="n">
        <x:v>178</x:v>
      </x:c>
      <x:c r="H265" s="82" t="n">
        <x:v>208</x:v>
      </x:c>
      <x:c r="I265" s="82" t="n">
        <x:v>12.7</x:v>
      </x:c>
      <x:c r="J265" s="81" t="n">
        <x:v>6</x:v>
      </x:c>
      <x:c r="K265" s="81" t="n">
        <x:v>12</x:v>
      </x:c>
      <x:c r="L265" s="83" t="n">
        <x:f>MAX(0,MIN(100,100-((F265-1)/(MAX($F$5:$F$265)-1))*100))</x:f>
        <x:v>0</x:v>
      </x:c>
      <x:c r="M265" s="83" t="n">
        <x:f>MAX(0,MIN(100,50+(('Sources &amp; Model'!$B$4-F265)/('Sources &amp; Model'!$B$6*2.5))*45))</x:f>
        <x:v>0</x:v>
      </x:c>
      <x:c r="N265" s="83" t="n">
        <x:f>IF(V265="Mine",0,IF(OR(C265="RB",C265="WR"),MAX(30,62-COUNTIFS($C$5:$C$265,C265,$V$5:$V$265,"Mine")*5),IF(OR(C265="D/ST",C265="K"),IF('Sources &amp; Model'!$B$4&gt;='Sources &amp; Model'!$B$6*('Sources &amp; Model'!$B$8-2),62,12),IF(COUNTIFS($C$5:$C$265,C265,$V$5:$V$265,"Mine")=0,82,38))))</x:f>
        <x:v>62</x:v>
      </x:c>
      <x:c r="O265" s="65" t="n">
        <x:v>42</x:v>
      </x:c>
      <x:c r="P265" s="83" t="n">
        <x:f>MAX(0,MIN(100,100/(1+EXP(-(('Sources &amp; Model'!$B$5-F265)/MAX(2.5,I265))))))</x:f>
        <x:v>0.0000336215959366567</x:v>
      </x:c>
      <x:c r="Q265" s="65" t="n">
        <x:v>50</x:v>
      </x:c>
      <x:c r="R265" s="65" t="n">
        <x:v>92</x:v>
      </x:c>
      <x:c r="S265" s="65" t="n">
        <x:v>40.4</x:v>
      </x:c>
      <x:c r="T265" s="65" t="n">
        <x:v>50.2</x:v>
      </x:c>
      <x:c r="U265" s="84" t="n">
        <x:f>IF(V265&lt;&gt;"Available","",(L265*'Sources &amp; Model'!$B$13+M265*'Sources &amp; Model'!$B$14+N265*'Sources &amp; Model'!$B$15+O265*'Sources &amp; Model'!$B$16+P265*'Sources &amp; Model'!$B$17+Q265*'Sources &amp; Model'!$B$18+R265*'Sources &amp; Model'!$B$19+S265*'Sources &amp; Model'!$B$20+T265*'Sources &amp; Model'!$B$21)/SUM('Sources &amp; Model'!$B$13:$B$21))</x:f>
        <x:v>22.330003362159594</x:v>
      </x:c>
      <x:c r="V265" s="5" t="str">
        <x:v>Available</x:v>
      </x:c>
      <x:c r="W265" t="str">
        <x:v>https://help.fantasyfootballcalculator.com/article/42-adp-rest-api</x:v>
      </x:c>
    </x:row>
  </x:sheetData>
  <x:mergeCells>
    <x:mergeCell ref="A1:W2"/>
    <x:mergeCell ref="A3:W3"/>
  </x:mergeCells>
  <x:conditionalFormatting sqref="U5:U265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{A5FB1DDE-A46E-666A-C959-801EDDDB44E3}</x14:id>
        </x:ext>
      </x:extLst>
    </x:cfRule>
  </x:conditionalFormatting>
  <x:conditionalFormatting sqref="V5:V265">
    <x:cfRule type="containsText" dxfId="0" priority="2" operator="containsText" text="Mine"/>
    <x:cfRule type="containsText" dxfId="1" priority="3" operator="containsText" text="Taken"/>
  </x:conditionalFormatting>
  <x:dataValidations count="1">
    <x:dataValidation type="list" sqref="V5:V265">
      <x:formula1>"Available,Mine,Taken"</x:formula1>
    </x:dataValidation>
  </x:dataValidations>
  <x:pageMargins left="0.7" right="0.7" top="0.75" bottom="0.75" header="0.3" footer="0.3"/>
  <x:legacyDrawing xmlns:r="http://schemas.openxmlformats.org/officeDocument/2006/relationships" r:id="Re51cdd5b863a4371"/>
  <x:tableParts count="1">
    <x:tablePart xmlns:r="http://schemas.openxmlformats.org/officeDocument/2006/relationships" r:id="Re36e2dd9fdb948e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A5FB1DDE-A46E-666A-C959-801EDDDB44E3}">
            <x14:dataBar gradient="1">
              <x14:cfvo type="min"/>
              <x14:cfvo type="max"/>
              <x14:fillColor rgb="FF2F75B5"/>
            </x14:dataBar>
          </x14:cfRule>
          <xm:sqref>U5:U265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20" hidden="0" customWidth="1"/>
    <x:col min="4" max="4" width="28" hidden="0" customWidth="1"/>
    <x:col min="5" max="5" width="10" hidden="0" customWidth="1"/>
    <x:col min="6" max="6" width="44" hidden="0" customWidth="1"/>
  </x:cols>
  <x:sheetData>
    <x:row r="1" ht="30" customHeight="1">
      <x:c r="A1" s="4" t="str">
        <x:v>League Inputs, Model Weights &amp; Sources</x:v>
      </x:c>
      <x:c r="B1" s="4"/>
      <x:c r="C1" s="4"/>
      <x:c r="D1" s="4"/>
      <x:c r="E1" s="4"/>
      <x:c r="F1" s="4"/>
    </x:row>
    <x:row r="2" ht="30" customHeight="1">
      <x:c r="A2" s="4"/>
      <x:c r="B2" s="4"/>
      <x:c r="C2" s="4"/>
      <x:c r="D2" s="4"/>
      <x:c r="E2" s="4"/>
      <x:c r="F2" s="4"/>
    </x:row>
    <x:row r="3" ht="22" customHeight="1">
      <x:c r="A3" s="64" t="str">
        <x:v>League input</x:v>
      </x:c>
      <x:c r="B3" s="64" t="str">
        <x:v>Value</x:v>
      </x:c>
    </x:row>
    <x:row r="4">
      <x:c r="A4" t="str">
        <x:v>Current overall pick</x:v>
      </x:c>
      <x:c r="B4" s="5" t="n">
        <x:v>1</x:v>
      </x:c>
    </x:row>
    <x:row r="5">
      <x:c r="A5" t="str">
        <x:v>Next manager pick</x:v>
      </x:c>
      <x:c r="B5" s="5" t="n">
        <x:v>1</x:v>
      </x:c>
    </x:row>
    <x:row r="6">
      <x:c r="A6" t="str">
        <x:v>League teams</x:v>
      </x:c>
      <x:c r="B6" s="5" t="n">
        <x:v>10</x:v>
      </x:c>
    </x:row>
    <x:row r="7">
      <x:c r="A7" t="str">
        <x:v>Draft slot</x:v>
      </x:c>
      <x:c r="B7" s="5" t="n">
        <x:v>1</x:v>
      </x:c>
    </x:row>
    <x:row r="8">
      <x:c r="A8" t="str">
        <x:v>Rounds</x:v>
      </x:c>
      <x:c r="B8" s="5" t="n">
        <x:v>16</x:v>
      </x:c>
    </x:row>
    <x:row r="9">
      <x:c r="A9" t="str">
        <x:v>Reception scoring</x:v>
      </x:c>
      <x:c r="B9" s="5" t="str">
        <x:v>Full PPR</x:v>
      </x:c>
    </x:row>
    <x:row r="12" ht="22" customHeight="1">
      <x:c r="A12" s="64" t="str">
        <x:v>Component</x:v>
      </x:c>
      <x:c r="B12" s="64" t="str">
        <x:v>Weight</x:v>
      </x:c>
      <x:c r="C12" s="64" t="str">
        <x:v>Purpose</x:v>
      </x:c>
    </x:row>
    <x:row r="13">
      <x:c r="A13" t="str">
        <x:v>market</x:v>
      </x:c>
      <x:c r="B13" s="85" t="n">
        <x:v>34</x:v>
      </x:c>
      <x:c r="C13" t="str">
        <x:v>Inverse current ADP percentile</x:v>
      </x:c>
    </x:row>
    <x:row r="14">
      <x:c r="A14" t="str">
        <x:v>value</x:v>
      </x:c>
      <x:c r="B14" s="85" t="n">
        <x:v>16</x:v>
      </x:c>
      <x:c r="C14" t="str">
        <x:v>Fall/reach relative to current pick</x:v>
      </x:c>
    </x:row>
    <x:row r="15">
      <x:c r="A15" t="str">
        <x:v>need</x:v>
      </x:c>
      <x:c r="B15" s="85" t="n">
        <x:v>15</x:v>
      </x:c>
      <x:c r="C15" t="str">
        <x:v>Roster construction pressure</x:v>
      </x:c>
    </x:row>
    <x:row r="16">
      <x:c r="A16" t="str">
        <x:v>scarcity</x:v>
      </x:c>
      <x:c r="B16" s="85" t="n">
        <x:v>12</x:v>
      </x:c>
      <x:c r="C16" t="str">
        <x:v>Position cliff before next turn</x:v>
      </x:c>
    </x:row>
    <x:row r="17">
      <x:c r="A17" t="str">
        <x:v>urgency</x:v>
      </x:c>
      <x:c r="B17" s="85" t="n">
        <x:v>10</x:v>
      </x:c>
      <x:c r="C17" t="str">
        <x:v>Estimated survival to next turn</x:v>
      </x:c>
    </x:row>
    <x:row r="18">
      <x:c r="A18" t="str">
        <x:v>role</x:v>
      </x:c>
      <x:c r="B18" s="85" t="n">
        <x:v>6</x:v>
      </x:c>
      <x:c r="C18" t="str">
        <x:v>Conservative depth/activity signal</x:v>
      </x:c>
    </x:row>
    <x:row r="19">
      <x:c r="A19" t="str">
        <x:v>availability</x:v>
      </x:c>
      <x:c r="B19" s="85" t="n">
        <x:v>4</x:v>
      </x:c>
      <x:c r="C19" t="str">
        <x:v>Status/injury observation</x:v>
      </x:c>
    </x:row>
    <x:row r="20">
      <x:c r="A20" t="str">
        <x:v>schedule</x:v>
      </x:c>
      <x:c r="B20" s="85" t="n">
        <x:v>2</x:v>
      </x:c>
      <x:c r="C20" t="str">
        <x:v>Roof/rest/international context</x:v>
      </x:c>
    </x:row>
    <x:row r="21">
      <x:c r="A21" t="str">
        <x:v>splits</x:v>
      </x:c>
      <x:c r="B21" s="85" t="n">
        <x:v>1</x:v>
      </x:c>
      <x:c r="C21" t="str">
        <x:v>Shrunk historical roof/surface fit</x:v>
      </x:c>
    </x:row>
    <x:row r="24" ht="22" customHeight="1">
      <x:c r="A24" s="87" t="str">
        <x:v>Source</x:v>
      </x:c>
      <x:c r="B24" s="87" t="str">
        <x:v>Use</x:v>
      </x:c>
      <x:c r="C24" s="87" t="str">
        <x:v>Retrieved</x:v>
      </x:c>
      <x:c r="D24" s="87" t="str">
        <x:v>License / terms</x:v>
      </x:c>
      <x:c r="E24" s="87" t="str">
        <x:v>Rows</x:v>
      </x:c>
      <x:c r="F24" s="87" t="str">
        <x:v>URL</x:v>
      </x:c>
    </x:row>
    <x:row r="25">
      <x:c r="A25" s="88" t="str">
        <x:v>Fantasy Football Calculator ADP market family</x:v>
      </x:c>
      <x:c r="B25" s="88" t="str">
        <x:v>Published input</x:v>
      </x:c>
      <x:c r="C25" s="89" t="n">
        <x:v>46250.96520119213</x:v>
      </x:c>
      <x:c r="D25" s="88" t="str">
        <x:v>Free ADP REST API; attribution requested; scoring-specific endpoint observations are listed separately</x:v>
      </x:c>
      <x:c r="E25" s="88" t="n">
        <x:v>261</x:v>
      </x:c>
      <x:c r="F25" s="88" t="str">
        <x:v>https://help.fantasyfootballcalculator.com/article/42-adp-rest-api</x:v>
      </x:c>
    </x:row>
    <x:row r="26">
      <x:c r="A26" s="88" t="str">
        <x:v>Fantasy Football Calculator Half-PPR ADP</x:v>
      </x:c>
      <x:c r="B26" s="88" t="str">
        <x:v>Published input</x:v>
      </x:c>
      <x:c r="C26" s="89" t="n">
        <x:v>46250.96520119213</x:v>
      </x:c>
      <x:c r="D26" s="88" t="str">
        <x:v>Free ADP REST API; attribution requested. Documentation: https://help.fantasyfootballcalculator.com/article/42-adp-rest-api</x:v>
      </x:c>
      <x:c r="E26" s="88" t="n">
        <x:v>218</x:v>
      </x:c>
      <x:c r="F26" s="88" t="str">
        <x:v>https://fantasyfootballcalculator.com/api/v1/adp/half-ppr?teams=10&amp;year=2026</x:v>
      </x:c>
    </x:row>
    <x:row r="27">
      <x:c r="A27" s="88" t="str">
        <x:v>Fantasy Football Calculator PPR ADP</x:v>
      </x:c>
      <x:c r="B27" s="88" t="str">
        <x:v>Published input</x:v>
      </x:c>
      <x:c r="C27" s="89" t="n">
        <x:v>46250.96520119213</x:v>
      </x:c>
      <x:c r="D27" s="88" t="str">
        <x:v>Free ADP REST API; attribution requested. Documentation: https://help.fantasyfootballcalculator.com/article/42-adp-rest-api</x:v>
      </x:c>
      <x:c r="E27" s="88" t="n">
        <x:v>261</x:v>
      </x:c>
      <x:c r="F27" s="88" t="str">
        <x:v>https://fantasyfootballcalculator.com/api/v1/adp/ppr?teams=10&amp;year=2026</x:v>
      </x:c>
    </x:row>
    <x:row r="28">
      <x:c r="A28" s="88" t="str">
        <x:v>Fantasy Football Calculator Standard ADP</x:v>
      </x:c>
      <x:c r="B28" s="88" t="str">
        <x:v>Published input</x:v>
      </x:c>
      <x:c r="C28" s="89" t="n">
        <x:v>46250.96520119213</x:v>
      </x:c>
      <x:c r="D28" s="88" t="str">
        <x:v>Free ADP REST API; attribution requested. Documentation: https://help.fantasyfootballcalculator.com/article/42-adp-rest-api</x:v>
      </x:c>
      <x:c r="E28" s="88" t="n">
        <x:v>210</x:v>
      </x:c>
      <x:c r="F28" s="88" t="str">
        <x:v>https://fantasyfootballcalculator.com/api/v1/adp/standard?teams=10&amp;year=2026</x:v>
      </x:c>
    </x:row>
    <x:row r="29">
      <x:c r="A29" s="88" t="str">
        <x:v>nflverse weekly player stats, 2023–25</x:v>
      </x:c>
      <x:c r="B29" s="88" t="str">
        <x:v>Published input</x:v>
      </x:c>
      <x:c r="C29" s="89" t="n">
        <x:v>46250.97600019676</x:v>
      </x:c>
      <x:c r="D29" s="88" t="str">
        <x:v>Creative Commons Attribution 4.0; observational splits are sample-guarded and non-causal</x:v>
      </x:c>
      <x:c r="E29" s="88" t="n">
        <x:v>207</x:v>
      </x:c>
      <x:c r="F29" s="88" t="str">
        <x:v>https://github.com/nflverse/nflverse-data/releases/tag/stats_player</x:v>
      </x:c>
    </x:row>
    <x:row r="30">
      <x:c r="A30" s="88" t="str">
        <x:v>nflverse 2023 weekly player stats</x:v>
      </x:c>
      <x:c r="B30" s="88" t="str">
        <x:v>Published input</x:v>
      </x:c>
      <x:c r="C30" s="89" t="n">
        <x:v>46250.97600019676</x:v>
      </x:c>
      <x:c r="D30" s="88" t="str">
        <x:v>Creative Commons Attribution 4.0; regular-season weekly observations</x:v>
      </x:c>
      <x:c r="E30" s="88" t="n">
        <x:v>17806</x:v>
      </x:c>
      <x:c r="F30" s="88" t="str">
        <x:v>https://github.com/nflverse/nflverse-data/releases/download/stats_player/stats_player_week_2023.csv</x:v>
      </x:c>
    </x:row>
    <x:row r="31">
      <x:c r="A31" s="88" t="str">
        <x:v>nflverse 2024 weekly player stats</x:v>
      </x:c>
      <x:c r="B31" s="88" t="str">
        <x:v>Published input</x:v>
      </x:c>
      <x:c r="C31" s="89" t="n">
        <x:v>46250.97600019676</x:v>
      </x:c>
      <x:c r="D31" s="88" t="str">
        <x:v>Creative Commons Attribution 4.0; regular-season weekly observations</x:v>
      </x:c>
      <x:c r="E31" s="88" t="n">
        <x:v>18130</x:v>
      </x:c>
      <x:c r="F31" s="88" t="str">
        <x:v>https://github.com/nflverse/nflverse-data/releases/download/stats_player/stats_player_week_2024.csv</x:v>
      </x:c>
    </x:row>
    <x:row r="32">
      <x:c r="A32" s="88" t="str">
        <x:v>nflverse 2025 weekly player stats</x:v>
      </x:c>
      <x:c r="B32" s="88" t="str">
        <x:v>Published input</x:v>
      </x:c>
      <x:c r="C32" s="89" t="n">
        <x:v>46250.97600019676</x:v>
      </x:c>
      <x:c r="D32" s="88" t="str">
        <x:v>Creative Commons Attribution 4.0; regular-season weekly observations</x:v>
      </x:c>
      <x:c r="E32" s="88" t="n">
        <x:v>18540</x:v>
      </x:c>
      <x:c r="F32" s="88" t="str">
        <x:v>https://github.com/nflverse/nflverse-data/releases/download/stats_player/stats_player_week_2025.csv</x:v>
      </x:c>
    </x:row>
    <x:row r="33">
      <x:c r="A33" s="88" t="str">
        <x:v>nflverse schedules</x:v>
      </x:c>
      <x:c r="B33" s="88" t="str">
        <x:v>Published input</x:v>
      </x:c>
      <x:c r="C33" s="89" t="n">
        <x:v>46250.97600019676</x:v>
      </x:c>
      <x:c r="D33" s="88" t="str">
        <x:v>Creative Commons Attribution 4.0; venue overrides are separately attributed</x:v>
      </x:c>
      <x:c r="E33" s="88" t="n">
        <x:v>272</x:v>
      </x:c>
      <x:c r="F33" s="88" t="str">
        <x:v>https://github.com/nflverse/nflverse-data/releases/download/schedules/games.csv</x:v>
      </x:c>
    </x:row>
    <x:row r="34">
      <x:c r="A34" s="88" t="str">
        <x:v>NFL Football Operations</x:v>
      </x:c>
      <x:c r="B34" s="88" t="str">
        <x:v>Published input</x:v>
      </x:c>
      <x:c r="C34" s="89" t="n">
        <x:v>46250.5</x:v>
      </x:c>
      <x:c r="D34" s="88" t="str">
        <x:v>Linked factual reference; manually reviewed and effective-dated in docs/venue-overrides.json</x:v>
      </x:c>
      <x:c r="E34" s="88" t="n">
        <x:v>9</x:v>
      </x:c>
      <x:c r="F34" s="88" t="str">
        <x:v>https://operations.nfl.com/programs-initiatives/international-growth/nfl-international-games</x:v>
      </x:c>
    </x:row>
    <x:row r="35">
      <x:c r="A35" s="88" t="str">
        <x:v>ESPN NFL RSS</x:v>
      </x:c>
      <x:c r="B35" s="88" t="str">
        <x:v>Published input</x:v>
      </x:c>
      <x:c r="C35" s="89" t="n">
        <x:v>46250.96520119213</x:v>
      </x:c>
      <x:c r="D35" s="88" t="str">
        <x:v>Linked feed titles, dates, and URLs only; no article bodies or automated ranking changes</x:v>
      </x:c>
      <x:c r="E35" s="88" t="n">
        <x:v>15</x:v>
      </x:c>
      <x:c r="F35" s="88" t="str">
        <x:v>https://www.espn.com/espn/rss/nfl/news</x:v>
      </x:c>
    </x:row>
    <x:row r="36">
      <x:c r="A36" s="88" t="str">
        <x:v>Arizona Cardinals RSS</x:v>
      </x:c>
      <x:c r="B36" s="88" t="str">
        <x:v>Published input</x:v>
      </x:c>
      <x:c r="C36" s="89" t="n">
        <x:v>46250.96520119213</x:v>
      </x:c>
      <x:c r="D36" s="88" t="str">
        <x:v>Linked feed titles, dates, and URLs only; no article bodies or automated ranking changes</x:v>
      </x:c>
      <x:c r="E36" s="88" t="n">
        <x:v>3</x:v>
      </x:c>
      <x:c r="F36" s="88" t="str">
        <x:v>https://www.azcardinals.com/rss/news</x:v>
      </x:c>
    </x:row>
    <x:row r="37">
      <x:c r="A37" s="88" t="str">
        <x:v>Atlanta Falcons RSS</x:v>
      </x:c>
      <x:c r="B37" s="88" t="str">
        <x:v>Published input</x:v>
      </x:c>
      <x:c r="C37" s="89" t="n">
        <x:v>46250.96520119213</x:v>
      </x:c>
      <x:c r="D37" s="88" t="str">
        <x:v>Linked feed titles, dates, and URLs only; no article bodies or automated ranking changes</x:v>
      </x:c>
      <x:c r="E37" s="88" t="n">
        <x:v>3</x:v>
      </x:c>
      <x:c r="F37" s="88" t="str">
        <x:v>https://www.atlantafalcons.com/rss/news</x:v>
      </x:c>
    </x:row>
    <x:row r="38">
      <x:c r="A38" s="88" t="str">
        <x:v>Baltimore Ravens RSS</x:v>
      </x:c>
      <x:c r="B38" s="88" t="str">
        <x:v>Published input</x:v>
      </x:c>
      <x:c r="C38" s="89" t="n">
        <x:v>46250.96520119213</x:v>
      </x:c>
      <x:c r="D38" s="88" t="str">
        <x:v>Linked feed titles, dates, and URLs only; no article bodies or automated ranking changes</x:v>
      </x:c>
      <x:c r="E38" s="88" t="n">
        <x:v>3</x:v>
      </x:c>
      <x:c r="F38" s="88" t="str">
        <x:v>https://www.baltimoreravens.com/rss/news</x:v>
      </x:c>
    </x:row>
    <x:row r="39">
      <x:c r="A39" s="88" t="str">
        <x:v>Buffalo Bills RSS</x:v>
      </x:c>
      <x:c r="B39" s="88" t="str">
        <x:v>Published input</x:v>
      </x:c>
      <x:c r="C39" s="89" t="n">
        <x:v>46250.96520119213</x:v>
      </x:c>
      <x:c r="D39" s="88" t="str">
        <x:v>Linked feed titles, dates, and URLs only; no article bodies or automated ranking changes</x:v>
      </x:c>
      <x:c r="E39" s="88" t="n">
        <x:v>3</x:v>
      </x:c>
      <x:c r="F39" s="88" t="str">
        <x:v>https://www.buffalobills.com/rss/news</x:v>
      </x:c>
    </x:row>
    <x:row r="40">
      <x:c r="A40" s="88" t="str">
        <x:v>Carolina Panthers RSS</x:v>
      </x:c>
      <x:c r="B40" s="88" t="str">
        <x:v>Published input</x:v>
      </x:c>
      <x:c r="C40" s="89" t="n">
        <x:v>46250.96520119213</x:v>
      </x:c>
      <x:c r="D40" s="88" t="str">
        <x:v>Linked feed titles, dates, and URLs only; no article bodies or automated ranking changes</x:v>
      </x:c>
      <x:c r="E40" s="88" t="n">
        <x:v>3</x:v>
      </x:c>
      <x:c r="F40" s="88" t="str">
        <x:v>https://www.panthers.com/rss/news</x:v>
      </x:c>
    </x:row>
    <x:row r="41">
      <x:c r="A41" s="88" t="str">
        <x:v>Chicago Bears RSS</x:v>
      </x:c>
      <x:c r="B41" s="88" t="str">
        <x:v>Published input</x:v>
      </x:c>
      <x:c r="C41" s="89" t="n">
        <x:v>46250.96520119213</x:v>
      </x:c>
      <x:c r="D41" s="88" t="str">
        <x:v>Linked feed titles, dates, and URLs only; no article bodies or automated ranking changes</x:v>
      </x:c>
      <x:c r="E41" s="88" t="n">
        <x:v>3</x:v>
      </x:c>
      <x:c r="F41" s="88" t="str">
        <x:v>https://www.chicagobears.com/rss/news</x:v>
      </x:c>
    </x:row>
    <x:row r="42">
      <x:c r="A42" s="88" t="str">
        <x:v>Cincinnati Bengals RSS</x:v>
      </x:c>
      <x:c r="B42" s="88" t="str">
        <x:v>Published input</x:v>
      </x:c>
      <x:c r="C42" s="89" t="n">
        <x:v>46250.96520119213</x:v>
      </x:c>
      <x:c r="D42" s="88" t="str">
        <x:v>Linked feed titles, dates, and URLs only; no article bodies or automated ranking changes</x:v>
      </x:c>
      <x:c r="E42" s="88" t="n">
        <x:v>3</x:v>
      </x:c>
      <x:c r="F42" s="88" t="str">
        <x:v>https://www.bengals.com/rss/news</x:v>
      </x:c>
    </x:row>
    <x:row r="43">
      <x:c r="A43" s="88" t="str">
        <x:v>Cleveland Browns RSS</x:v>
      </x:c>
      <x:c r="B43" s="88" t="str">
        <x:v>Published input</x:v>
      </x:c>
      <x:c r="C43" s="89" t="n">
        <x:v>46250.96520119213</x:v>
      </x:c>
      <x:c r="D43" s="88" t="str">
        <x:v>Linked feed titles, dates, and URLs only; no article bodies or automated ranking changes</x:v>
      </x:c>
      <x:c r="E43" s="88" t="n">
        <x:v>3</x:v>
      </x:c>
      <x:c r="F43" s="88" t="str">
        <x:v>https://www.clevelandbrowns.com/rss/news</x:v>
      </x:c>
    </x:row>
    <x:row r="44">
      <x:c r="A44" s="88" t="str">
        <x:v>Dallas Cowboys RSS</x:v>
      </x:c>
      <x:c r="B44" s="88" t="str">
        <x:v>Published input</x:v>
      </x:c>
      <x:c r="C44" s="89" t="n">
        <x:v>46250.96520119213</x:v>
      </x:c>
      <x:c r="D44" s="88" t="str">
        <x:v>Linked feed titles, dates, and URLs only; no article bodies or automated ranking changes</x:v>
      </x:c>
      <x:c r="E44" s="88" t="n">
        <x:v>3</x:v>
      </x:c>
      <x:c r="F44" s="88" t="str">
        <x:v>https://www.dallascowboys.com/rss/news</x:v>
      </x:c>
    </x:row>
    <x:row r="45">
      <x:c r="A45" s="88" t="str">
        <x:v>Denver Broncos RSS</x:v>
      </x:c>
      <x:c r="B45" s="88" t="str">
        <x:v>Published input</x:v>
      </x:c>
      <x:c r="C45" s="89" t="n">
        <x:v>46250.96520119213</x:v>
      </x:c>
      <x:c r="D45" s="88" t="str">
        <x:v>Linked feed titles, dates, and URLs only; no article bodies or automated ranking changes</x:v>
      </x:c>
      <x:c r="E45" s="88" t="n">
        <x:v>3</x:v>
      </x:c>
      <x:c r="F45" s="88" t="str">
        <x:v>https://www.denverbroncos.com/rss/news</x:v>
      </x:c>
    </x:row>
    <x:row r="46">
      <x:c r="A46" s="88" t="str">
        <x:v>Detroit Lions RSS</x:v>
      </x:c>
      <x:c r="B46" s="88" t="str">
        <x:v>Published input</x:v>
      </x:c>
      <x:c r="C46" s="89" t="n">
        <x:v>46250.96520119213</x:v>
      </x:c>
      <x:c r="D46" s="88" t="str">
        <x:v>Linked feed titles, dates, and URLs only; no article bodies or automated ranking changes</x:v>
      </x:c>
      <x:c r="E46" s="88" t="n">
        <x:v>3</x:v>
      </x:c>
      <x:c r="F46" s="88" t="str">
        <x:v>https://www.detroitlions.com/rss/news</x:v>
      </x:c>
    </x:row>
    <x:row r="47">
      <x:c r="A47" s="88" t="str">
        <x:v>Green Bay Packers RSS</x:v>
      </x:c>
      <x:c r="B47" s="88" t="str">
        <x:v>Published input</x:v>
      </x:c>
      <x:c r="C47" s="89" t="n">
        <x:v>46250.96520119213</x:v>
      </x:c>
      <x:c r="D47" s="88" t="str">
        <x:v>Linked feed titles, dates, and URLs only; no article bodies or automated ranking changes</x:v>
      </x:c>
      <x:c r="E47" s="88" t="n">
        <x:v>3</x:v>
      </x:c>
      <x:c r="F47" s="88" t="str">
        <x:v>https://www.packers.com/rss/news</x:v>
      </x:c>
    </x:row>
    <x:row r="48">
      <x:c r="A48" s="88" t="str">
        <x:v>Houston Texans RSS</x:v>
      </x:c>
      <x:c r="B48" s="88" t="str">
        <x:v>Published input</x:v>
      </x:c>
      <x:c r="C48" s="89" t="n">
        <x:v>46250.96520119213</x:v>
      </x:c>
      <x:c r="D48" s="88" t="str">
        <x:v>Linked feed titles, dates, and URLs only; no article bodies or automated ranking changes</x:v>
      </x:c>
      <x:c r="E48" s="88" t="n">
        <x:v>3</x:v>
      </x:c>
      <x:c r="F48" s="88" t="str">
        <x:v>https://www.houstontexans.com/rss/news</x:v>
      </x:c>
    </x:row>
    <x:row r="49">
      <x:c r="A49" s="88" t="str">
        <x:v>Indianapolis Colts RSS</x:v>
      </x:c>
      <x:c r="B49" s="88" t="str">
        <x:v>Published input</x:v>
      </x:c>
      <x:c r="C49" s="89" t="n">
        <x:v>46250.96520119213</x:v>
      </x:c>
      <x:c r="D49" s="88" t="str">
        <x:v>Linked feed titles, dates, and URLs only; no article bodies or automated ranking changes</x:v>
      </x:c>
      <x:c r="E49" s="88" t="n">
        <x:v>3</x:v>
      </x:c>
      <x:c r="F49" s="88" t="str">
        <x:v>https://www.colts.com/rss/news</x:v>
      </x:c>
    </x:row>
    <x:row r="50">
      <x:c r="A50" s="88" t="str">
        <x:v>Jacksonville Jaguars RSS</x:v>
      </x:c>
      <x:c r="B50" s="88" t="str">
        <x:v>Published input</x:v>
      </x:c>
      <x:c r="C50" s="89" t="n">
        <x:v>46250.96520119213</x:v>
      </x:c>
      <x:c r="D50" s="88" t="str">
        <x:v>Linked feed titles, dates, and URLs only; no article bodies or automated ranking changes</x:v>
      </x:c>
      <x:c r="E50" s="88" t="n">
        <x:v>3</x:v>
      </x:c>
      <x:c r="F50" s="88" t="str">
        <x:v>https://www.jaguars.com/rss/news</x:v>
      </x:c>
    </x:row>
    <x:row r="51">
      <x:c r="A51" s="88" t="str">
        <x:v>Kansas City Chiefs RSS</x:v>
      </x:c>
      <x:c r="B51" s="88" t="str">
        <x:v>Published input</x:v>
      </x:c>
      <x:c r="C51" s="89" t="n">
        <x:v>46250.96520119213</x:v>
      </x:c>
      <x:c r="D51" s="88" t="str">
        <x:v>Linked feed titles, dates, and URLs only; no article bodies or automated ranking changes</x:v>
      </x:c>
      <x:c r="E51" s="88" t="n">
        <x:v>3</x:v>
      </x:c>
      <x:c r="F51" s="88" t="str">
        <x:v>https://www.chiefs.com/rss/news</x:v>
      </x:c>
    </x:row>
    <x:row r="52">
      <x:c r="A52" s="88" t="str">
        <x:v>Los Angeles Chargers RSS</x:v>
      </x:c>
      <x:c r="B52" s="88" t="str">
        <x:v>Published input</x:v>
      </x:c>
      <x:c r="C52" s="89" t="n">
        <x:v>46250.96520119213</x:v>
      </x:c>
      <x:c r="D52" s="88" t="str">
        <x:v>Linked feed titles, dates, and URLs only; no article bodies or automated ranking changes</x:v>
      </x:c>
      <x:c r="E52" s="88" t="n">
        <x:v>3</x:v>
      </x:c>
      <x:c r="F52" s="88" t="str">
        <x:v>https://www.chargers.com/rss/news</x:v>
      </x:c>
    </x:row>
    <x:row r="53">
      <x:c r="A53" s="88" t="str">
        <x:v>Los Angeles Rams RSS</x:v>
      </x:c>
      <x:c r="B53" s="88" t="str">
        <x:v>Published input</x:v>
      </x:c>
      <x:c r="C53" s="89" t="n">
        <x:v>46250.96520119213</x:v>
      </x:c>
      <x:c r="D53" s="88" t="str">
        <x:v>Linked feed titles, dates, and URLs only; no article bodies or automated ranking changes</x:v>
      </x:c>
      <x:c r="E53" s="88" t="n">
        <x:v>3</x:v>
      </x:c>
      <x:c r="F53" s="88" t="str">
        <x:v>https://www.therams.com/rss/news</x:v>
      </x:c>
    </x:row>
    <x:row r="54">
      <x:c r="A54" s="88" t="str">
        <x:v>Las Vegas Raiders RSS</x:v>
      </x:c>
      <x:c r="B54" s="88" t="str">
        <x:v>Published input</x:v>
      </x:c>
      <x:c r="C54" s="89" t="n">
        <x:v>46250.96520119213</x:v>
      </x:c>
      <x:c r="D54" s="88" t="str">
        <x:v>Linked feed titles, dates, and URLs only; no article bodies or automated ranking changes</x:v>
      </x:c>
      <x:c r="E54" s="88" t="n">
        <x:v>3</x:v>
      </x:c>
      <x:c r="F54" s="88" t="str">
        <x:v>https://www.raiders.com/rss/news</x:v>
      </x:c>
    </x:row>
    <x:row r="55">
      <x:c r="A55" s="88" t="str">
        <x:v>Miami Dolphins RSS</x:v>
      </x:c>
      <x:c r="B55" s="88" t="str">
        <x:v>Published input</x:v>
      </x:c>
      <x:c r="C55" s="89" t="n">
        <x:v>46250.96520119213</x:v>
      </x:c>
      <x:c r="D55" s="88" t="str">
        <x:v>Linked feed titles, dates, and URLs only; no article bodies or automated ranking changes</x:v>
      </x:c>
      <x:c r="E55" s="88" t="n">
        <x:v>3</x:v>
      </x:c>
      <x:c r="F55" s="88" t="str">
        <x:v>https://www.miamidolphins.com/rss/news</x:v>
      </x:c>
    </x:row>
    <x:row r="56">
      <x:c r="A56" s="88" t="str">
        <x:v>Minnesota Vikings RSS</x:v>
      </x:c>
      <x:c r="B56" s="88" t="str">
        <x:v>Published input</x:v>
      </x:c>
      <x:c r="C56" s="89" t="n">
        <x:v>46250.96520119213</x:v>
      </x:c>
      <x:c r="D56" s="88" t="str">
        <x:v>Linked feed titles, dates, and URLs only; no article bodies or automated ranking changes</x:v>
      </x:c>
      <x:c r="E56" s="88" t="n">
        <x:v>3</x:v>
      </x:c>
      <x:c r="F56" s="88" t="str">
        <x:v>https://www.vikings.com/rss/news</x:v>
      </x:c>
    </x:row>
    <x:row r="57">
      <x:c r="A57" s="88" t="str">
        <x:v>New England Patriots RSS</x:v>
      </x:c>
      <x:c r="B57" s="88" t="str">
        <x:v>Published input</x:v>
      </x:c>
      <x:c r="C57" s="89" t="n">
        <x:v>46250.96520119213</x:v>
      </x:c>
      <x:c r="D57" s="88" t="str">
        <x:v>Linked feed titles, dates, and URLs only; no article bodies or automated ranking changes</x:v>
      </x:c>
      <x:c r="E57" s="88" t="n">
        <x:v>3</x:v>
      </x:c>
      <x:c r="F57" s="88" t="str">
        <x:v>https://www.patriots.com/rss/news</x:v>
      </x:c>
    </x:row>
    <x:row r="58">
      <x:c r="A58" s="88" t="str">
        <x:v>New Orleans Saints RSS</x:v>
      </x:c>
      <x:c r="B58" s="88" t="str">
        <x:v>Published input</x:v>
      </x:c>
      <x:c r="C58" s="89" t="n">
        <x:v>46250.96520119213</x:v>
      </x:c>
      <x:c r="D58" s="88" t="str">
        <x:v>Linked feed titles, dates, and URLs only; no article bodies or automated ranking changes</x:v>
      </x:c>
      <x:c r="E58" s="88" t="n">
        <x:v>3</x:v>
      </x:c>
      <x:c r="F58" s="88" t="str">
        <x:v>https://www.neworleanssaints.com/rss/news</x:v>
      </x:c>
    </x:row>
    <x:row r="59">
      <x:c r="A59" s="88" t="str">
        <x:v>New York Giants RSS</x:v>
      </x:c>
      <x:c r="B59" s="88" t="str">
        <x:v>Published input</x:v>
      </x:c>
      <x:c r="C59" s="89" t="n">
        <x:v>46250.96520119213</x:v>
      </x:c>
      <x:c r="D59" s="88" t="str">
        <x:v>Linked feed titles, dates, and URLs only; no article bodies or automated ranking changes</x:v>
      </x:c>
      <x:c r="E59" s="88" t="n">
        <x:v>3</x:v>
      </x:c>
      <x:c r="F59" s="88" t="str">
        <x:v>https://www.giants.com/rss/news</x:v>
      </x:c>
    </x:row>
    <x:row r="60">
      <x:c r="A60" s="88" t="str">
        <x:v>New York Jets RSS</x:v>
      </x:c>
      <x:c r="B60" s="88" t="str">
        <x:v>Published input</x:v>
      </x:c>
      <x:c r="C60" s="89" t="n">
        <x:v>46250.96520119213</x:v>
      </x:c>
      <x:c r="D60" s="88" t="str">
        <x:v>Linked feed titles, dates, and URLs only; no article bodies or automated ranking changes</x:v>
      </x:c>
      <x:c r="E60" s="88" t="n">
        <x:v>3</x:v>
      </x:c>
      <x:c r="F60" s="88" t="str">
        <x:v>https://www.newyorkjets.com/rss/news</x:v>
      </x:c>
    </x:row>
    <x:row r="61">
      <x:c r="A61" s="88" t="str">
        <x:v>Philadelphia Eagles RSS</x:v>
      </x:c>
      <x:c r="B61" s="88" t="str">
        <x:v>Published input</x:v>
      </x:c>
      <x:c r="C61" s="89" t="n">
        <x:v>46250.96520119213</x:v>
      </x:c>
      <x:c r="D61" s="88" t="str">
        <x:v>Linked feed titles, dates, and URLs only; no article bodies or automated ranking changes</x:v>
      </x:c>
      <x:c r="E61" s="88" t="n">
        <x:v>3</x:v>
      </x:c>
      <x:c r="F61" s="88" t="str">
        <x:v>https://www.philadelphiaeagles.com/rss/news</x:v>
      </x:c>
    </x:row>
    <x:row r="62">
      <x:c r="A62" s="88" t="str">
        <x:v>Pittsburgh Steelers RSS</x:v>
      </x:c>
      <x:c r="B62" s="88" t="str">
        <x:v>Published input</x:v>
      </x:c>
      <x:c r="C62" s="89" t="n">
        <x:v>46250.96520119213</x:v>
      </x:c>
      <x:c r="D62" s="88" t="str">
        <x:v>Linked feed titles, dates, and URLs only; no article bodies or automated ranking changes</x:v>
      </x:c>
      <x:c r="E62" s="88" t="n">
        <x:v>3</x:v>
      </x:c>
      <x:c r="F62" s="88" t="str">
        <x:v>https://www.steelers.com/rss/news</x:v>
      </x:c>
    </x:row>
    <x:row r="63">
      <x:c r="A63" s="88" t="str">
        <x:v>Seattle Seahawks RSS</x:v>
      </x:c>
      <x:c r="B63" s="88" t="str">
        <x:v>Published input</x:v>
      </x:c>
      <x:c r="C63" s="89" t="n">
        <x:v>46250.96520119213</x:v>
      </x:c>
      <x:c r="D63" s="88" t="str">
        <x:v>Linked feed titles, dates, and URLs only; no article bodies or automated ranking changes</x:v>
      </x:c>
      <x:c r="E63" s="88" t="n">
        <x:v>3</x:v>
      </x:c>
      <x:c r="F63" s="88" t="str">
        <x:v>https://www.seahawks.com/rss/news</x:v>
      </x:c>
    </x:row>
    <x:row r="64">
      <x:c r="A64" s="88" t="str">
        <x:v>San Francisco 49ers RSS</x:v>
      </x:c>
      <x:c r="B64" s="88" t="str">
        <x:v>Published input</x:v>
      </x:c>
      <x:c r="C64" s="89" t="n">
        <x:v>46250.96520119213</x:v>
      </x:c>
      <x:c r="D64" s="88" t="str">
        <x:v>Linked feed titles, dates, and URLs only; no article bodies or automated ranking changes</x:v>
      </x:c>
      <x:c r="E64" s="88" t="n">
        <x:v>3</x:v>
      </x:c>
      <x:c r="F64" s="88" t="str">
        <x:v>https://www.49ers.com/rss/news</x:v>
      </x:c>
    </x:row>
    <x:row r="65">
      <x:c r="A65" s="88" t="str">
        <x:v>Tampa Bay Buccaneers RSS</x:v>
      </x:c>
      <x:c r="B65" s="88" t="str">
        <x:v>Published input</x:v>
      </x:c>
      <x:c r="C65" s="89" t="n">
        <x:v>46250.96520119213</x:v>
      </x:c>
      <x:c r="D65" s="88" t="str">
        <x:v>Linked feed titles, dates, and URLs only; no article bodies or automated ranking changes</x:v>
      </x:c>
      <x:c r="E65" s="88" t="n">
        <x:v>3</x:v>
      </x:c>
      <x:c r="F65" s="88" t="str">
        <x:v>https://www.buccaneers.com/rss/news</x:v>
      </x:c>
    </x:row>
    <x:row r="66">
      <x:c r="A66" s="88" t="str">
        <x:v>Tennessee Titans RSS</x:v>
      </x:c>
      <x:c r="B66" s="88" t="str">
        <x:v>Published input</x:v>
      </x:c>
      <x:c r="C66" s="89" t="n">
        <x:v>46250.96520119213</x:v>
      </x:c>
      <x:c r="D66" s="88" t="str">
        <x:v>Linked feed titles, dates, and URLs only; no article bodies or automated ranking changes</x:v>
      </x:c>
      <x:c r="E66" s="88" t="n">
        <x:v>3</x:v>
      </x:c>
      <x:c r="F66" s="88" t="str">
        <x:v>https://www.tennesseetitans.com/rss/news</x:v>
      </x:c>
    </x:row>
    <x:row r="67">
      <x:c r="A67" s="88" t="str">
        <x:v>Washington Commanders RSS</x:v>
      </x:c>
      <x:c r="B67" s="88" t="str">
        <x:v>Published input</x:v>
      </x:c>
      <x:c r="C67" s="89" t="n">
        <x:v>46250.96520119213</x:v>
      </x:c>
      <x:c r="D67" s="88" t="str">
        <x:v>Linked feed titles, dates, and URLs only; no article bodies or automated ranking changes</x:v>
      </x:c>
      <x:c r="E67" s="88" t="n">
        <x:v>3</x:v>
      </x:c>
      <x:c r="F67" s="88" t="str">
        <x:v>https://www.commanders.com/rss/news</x:v>
      </x:c>
    </x:row>
    <x:row r="68">
      <x:c r="A68" s="88" t="str">
        <x:v>Sleeper NFL players</x:v>
      </x:c>
      <x:c r="B68" s="88" t="str">
        <x:v>Published input</x:v>
      </x:c>
      <x:c r="C68" s="89" t="n">
        <x:v>46250.96520119213</x:v>
      </x:c>
      <x:c r="D68" s="88" t="str">
        <x:v>Personal non-commercial use; documentation: https://docs.sleeper.com/</x:v>
      </x:c>
      <x:c r="E68" s="88" t="n">
        <x:v>12219</x:v>
      </x:c>
      <x:c r="F68" s="88" t="str">
        <x:v>https://api.sleeper.app/v1/players/nfl</x:v>
      </x:c>
    </x:row>
    <x:row r="69">
      <x:c r="A69" s="88" t="str">
        <x:v>Sleeper NFL add trends</x:v>
      </x:c>
      <x:c r="B69" s="88" t="str">
        <x:v>Published input</x:v>
      </x:c>
      <x:c r="C69" s="89" t="n">
        <x:v>46250.96520119213</x:v>
      </x:c>
      <x:c r="D69" s="88" t="str">
        <x:v>Personal non-commercial use; documentation: https://docs.sleeper.com/</x:v>
      </x:c>
      <x:c r="E69" s="88" t="n">
        <x:v>50</x:v>
      </x:c>
      <x:c r="F69" s="88" t="str">
        <x:v>https://api.sleeper.app/v1/players/nfl/trending/add?lookback_hours=24&amp;limit=50</x:v>
      </x:c>
    </x:row>
    <x:row r="70">
      <x:c r="A70" s="88" t="str">
        <x:v>Sleeper NFL drop trends</x:v>
      </x:c>
      <x:c r="B70" s="88" t="str">
        <x:v>Published input</x:v>
      </x:c>
      <x:c r="C70" s="89" t="n">
        <x:v>46250.96520119213</x:v>
      </x:c>
      <x:c r="D70" s="88" t="str">
        <x:v>Personal non-commercial use; documentation: https://docs.sleeper.com/</x:v>
      </x:c>
      <x:c r="E70" s="88" t="n">
        <x:v>50</x:v>
      </x:c>
      <x:c r="F70" s="88" t="str">
        <x:v>https://api.sleeper.app/v1/players/nfl/trending/drop?lookback_hours=24&amp;limit=50</x:v>
      </x:c>
    </x:row>
    <x:row r="71">
      <x:c r="A71" s="88" t="str">
        <x:v>Allianz Arena</x:v>
      </x:c>
      <x:c r="B71" s="88" t="str">
        <x:v>Published input</x:v>
      </x:c>
      <x:c r="C71" s="89" t="n">
        <x:v>46250.5</x:v>
      </x:c>
      <x:c r="D71" s="88" t="str">
        <x:v>Linked factual reference; manually reviewed and effective-dated in docs/venue-overrides.json</x:v>
      </x:c>
      <x:c r="E71" s="88" t="n">
        <x:v>1</x:v>
      </x:c>
      <x:c r="F71" s="88" t="str">
        <x:v>https://allianz-arena.com/en/faq</x:v>
      </x:c>
    </x:row>
    <x:row r="72">
      <x:c r="A72" s="88" t="str">
        <x:v>Government of Rio de Janeiro</x:v>
      </x:c>
      <x:c r="B72" s="88" t="str">
        <x:v>Published input</x:v>
      </x:c>
      <x:c r="C72" s="89" t="n">
        <x:v>46250.5</x:v>
      </x:c>
      <x:c r="D72" s="88" t="str">
        <x:v>Linked factual reference; manually reviewed and effective-dated in docs/venue-overrides.json</x:v>
      </x:c>
      <x:c r="E72" s="88" t="n">
        <x:v>1</x:v>
      </x:c>
      <x:c r="F72" s="88" t="str">
        <x:v>https://www.rj.gov.br/casacivil/sites/default/files/arquivos_paginas/14.Anexo%20XI%20-%20Guia%20de%20Escopo%20Operacional_0.pdf</x:v>
      </x:c>
    </x:row>
    <x:row r="73">
      <x:c r="A73" s="88" t="str">
        <x:v>Melbourne Cricket Club</x:v>
      </x:c>
      <x:c r="B73" s="88" t="str">
        <x:v>Published input</x:v>
      </x:c>
      <x:c r="C73" s="89" t="n">
        <x:v>46250.5</x:v>
      </x:c>
      <x:c r="D73" s="88" t="str">
        <x:v>Linked factual reference; manually reviewed and effective-dated in docs/venue-overrides.json</x:v>
      </x:c>
      <x:c r="E73" s="88" t="n">
        <x:v>1</x:v>
      </x:c>
      <x:c r="F73" s="88" t="str">
        <x:v>https://www.mcg.org.au/about/stadium-operations/portable-cricket-pitches</x:v>
      </x:c>
    </x:row>
    <x:row r="74">
      <x:c r="A74" s="88" t="str">
        <x:v>Buffalo Bills</x:v>
      </x:c>
      <x:c r="B74" s="88" t="str">
        <x:v>Published input</x:v>
      </x:c>
      <x:c r="C74" s="89" t="n">
        <x:v>46250.5</x:v>
      </x:c>
      <x:c r="D74" s="88" t="str">
        <x:v>Linked factual reference; manually reviewed and effective-dated in docs/venue-overrides.json</x:v>
      </x:c>
      <x:c r="E74" s="88" t="n">
        <x:v>1</x:v>
      </x:c>
      <x:c r="F74" s="88" t="str">
        <x:v>https://www.buffalobills.com/news/impressed-by-every-aspect-of-it-bills-officially-open-highmark-stadium-with-ribbon-cutting-ceremony</x:v>
      </x:c>
    </x:row>
    <x:row r="75">
      <x:c r="A75" s="88" t="str">
        <x:v>Stade de France</x:v>
      </x:c>
      <x:c r="B75" s="88" t="str">
        <x:v>Published input</x:v>
      </x:c>
      <x:c r="C75" s="89" t="n">
        <x:v>46250.5</x:v>
      </x:c>
      <x:c r="D75" s="88" t="str">
        <x:v>Linked factual reference; manually reviewed and effective-dated in docs/venue-overrides.json</x:v>
      </x:c>
      <x:c r="E75" s="88" t="n">
        <x:v>1</x:v>
      </x:c>
      <x:c r="F75" s="88" t="str">
        <x:v>https://www.stadefrance.com/en/stadium/our-history</x:v>
      </x:c>
    </x:row>
    <x:row r="76">
      <x:c r="A76" s="88" t="str">
        <x:v>Tottenham Hotspur</x:v>
      </x:c>
      <x:c r="B76" s="88" t="str">
        <x:v>Published input</x:v>
      </x:c>
      <x:c r="C76" s="89" t="n">
        <x:v>46250.5</x:v>
      </x:c>
      <x:c r="D76" s="88" t="str">
        <x:v>Linked factual reference; manually reviewed and effective-dated in docs/venue-overrides.json</x:v>
      </x:c>
      <x:c r="E76" s="88" t="n">
        <x:v>1</x:v>
      </x:c>
      <x:c r="F76" s="88" t="str">
        <x:v>https://www.tottenhamhotspur.com/news/1032423/scx-to-supply-world-first-dividing-retractable-pitch-for-tottenham-hotspurs-new-stadium</x:v>
      </x:c>
    </x:row>
  </x:sheetData>
  <x:mergeCells>
    <x:mergeCell ref="A1:F2"/>
  </x:mergeCells>
  <x:dataValidations count="3">
    <x:dataValidation type="whole" operator="between" sqref="B4:B8">
      <x:formula1>1</x:formula1>
      <x:formula2>240</x:formula2>
    </x:dataValidation>
    <x:dataValidation type="list" sqref="B9">
      <x:formula1>"Full PPR,Half PPR,Standard"</x:formula1>
    </x:dataValidation>
    <x:dataValidation type="whole" operator="between" sqref="B13:B21">
      <x:formula1>0</x:formula1>
      <x:formula2>100</x:formula2>
    </x:dataValidation>
  </x:dataValidations>
  <x:pageMargins left="0.7" right="0.7" top="0.75" bottom="0.75" header="0.3" footer="0.3"/>
  <x:legacyDrawing xmlns:r="http://schemas.openxmlformats.org/officeDocument/2006/relationships" r:id="R22a5fbd4a8b84090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18" hidden="0" customWidth="1"/>
    <x:col min="4" max="4" width="14" hidden="0" customWidth="1"/>
    <x:col min="5" max="5" width="14" hidden="0" customWidth="1"/>
    <x:col min="6" max="6" width="46" hidden="0" customWidth="1"/>
    <x:col min="7" max="7" width="48" hidden="0" customWidth="1"/>
  </x:cols>
  <x:sheetData>
    <x:row r="1" ht="30" customHeight="1">
      <x:c r="A1" s="4" t="str">
        <x:v>Research Inbox</x:v>
      </x:c>
      <x:c r="B1" s="4"/>
      <x:c r="C1" s="4"/>
      <x:c r="D1" s="4"/>
      <x:c r="E1" s="4"/>
      <x:c r="F1" s="4"/>
      <x:c r="G1" s="4"/>
    </x:row>
    <x:row r="2" ht="30" customHeight="1">
      <x:c r="A2" s="4"/>
      <x:c r="B2" s="4"/>
      <x:c r="C2" s="4"/>
      <x:c r="D2" s="4"/>
      <x:c r="E2" s="4"/>
      <x:c r="F2" s="4"/>
      <x:c r="G2" s="4"/>
    </x:row>
    <x:row r="3">
      <x:c r="A3" s="78" t="str">
        <x:v>Linked headlines and official watch items are context, not automatically applied diagnoses or ranking overrides.</x:v>
      </x:c>
      <x:c r="B3" s="78"/>
      <x:c r="C3" s="78"/>
      <x:c r="D3" s="78"/>
      <x:c r="E3" s="78"/>
      <x:c r="F3" s="78"/>
      <x:c r="G3" s="78"/>
    </x:row>
    <x:row r="5" ht="22" customHeight="1">
      <x:c r="A5" s="87" t="str">
        <x:v>Category</x:v>
      </x:c>
      <x:c r="B5" s="87" t="str">
        <x:v>Title</x:v>
      </x:c>
      <x:c r="C5" s="87" t="str">
        <x:v>Source</x:v>
      </x:c>
      <x:c r="D5" s="87" t="str">
        <x:v>Published</x:v>
      </x:c>
      <x:c r="E5" s="87" t="str">
        <x:v>Confidence</x:v>
      </x:c>
      <x:c r="F5" s="87" t="str">
        <x:v>Summary</x:v>
      </x:c>
      <x:c r="G5" s="87" t="str">
        <x:v>URL</x:v>
      </x:c>
    </x:row>
    <x:row r="6">
      <x:c r="A6" s="88" t="str">
        <x:v>headline</x:v>
      </x:c>
      <x:c r="B6" s="88" t="str">
        <x:v>Coordinators harping on 'TNTs' to play cleaner</x:v>
      </x:c>
      <x:c r="C6" s="88" t="str">
        <x:v>Pittsburgh Steelers</x:v>
      </x:c>
      <x:c r="D6" s="91" t="n">
        <x:v>46250.95873842593</x:v>
      </x:c>
      <x:c r="E6" s="88" t="str">
        <x:v>linked</x:v>
      </x:c>
      <x:c r="F6" s="88" t="str"/>
      <x:c r="G6" s="88" t="str">
        <x:v>https://www.steelers.com/news/coordinators-harping-on-tnts-to-play-cleaner</x:v>
      </x:c>
    </x:row>
    <x:row r="7">
      <x:c r="A7" s="88" t="str">
        <x:v>headline</x:v>
      </x:c>
      <x:c r="B7" s="88" t="str">
        <x:v>Kelee Ringo: 'Short-term memory is a big part of the game'</x:v>
      </x:c>
      <x:c r="C7" s="88" t="str">
        <x:v>Philadelphia Eagles</x:v>
      </x:c>
      <x:c r="D7" s="91" t="n">
        <x:v>46250.958333333336</x:v>
      </x:c>
      <x:c r="E7" s="88" t="str">
        <x:v>linked</x:v>
      </x:c>
      <x:c r="F7" s="88" t="str"/>
      <x:c r="G7" s="88" t="str">
        <x:v>https://www.philadelphiaeagles.com/news/kelee-ringo-short-term-memory-is-a-big-part-of-the-game-eagles-ravens</x:v>
      </x:c>
    </x:row>
    <x:row r="8">
      <x:c r="A8" s="88" t="str">
        <x:v>headline</x:v>
      </x:c>
      <x:c r="B8" s="88" t="str">
        <x:v>Where Rookie Genesis Smith is Progressing the Most in 1st Chargers Training Camp</x:v>
      </x:c>
      <x:c r="C8" s="88" t="str">
        <x:v>Los Angeles Chargers</x:v>
      </x:c>
      <x:c r="D8" s="91" t="n">
        <x:v>46250.94798611111</x:v>
      </x:c>
      <x:c r="E8" s="88" t="str">
        <x:v>linked</x:v>
      </x:c>
      <x:c r="F8" s="88" t="str"/>
      <x:c r="G8" s="88" t="str">
        <x:v>https://www.chargers.com/news/genesis-smith-safety-depth-chart-2026</x:v>
      </x:c>
    </x:row>
    <x:row r="9">
      <x:c r="A9" s="88" t="str">
        <x:v>headline</x:v>
      </x:c>
      <x:c r="B9" s="88" t="str">
        <x:v>👀 Fantasy football: Matt Bowen's favorite targets</x:v>
      </x:c>
      <x:c r="C9" s="88" t="str">
        <x:v>ESPN NFL</x:v>
      </x:c>
      <x:c r="D9" s="91" t="n">
        <x:v>46250.946921296294</x:v>
      </x:c>
      <x:c r="E9" s="88" t="str">
        <x:v>linked</x:v>
      </x:c>
      <x:c r="F9" s="88" t="str"/>
      <x:c r="G9" s="88" t="str">
        <x:v>https://www.espn.com/fantasy/football/story/_/id/49576653/fantasy-football-draft-targets-picks-fliers-breakouts-matt-bowen-2026</x:v>
      </x:c>
    </x:row>
    <x:row r="10">
      <x:c r="A10" s="88" t="str">
        <x:v>headline</x:v>
      </x:c>
      <x:c r="B10" s="88" t="str">
        <x:v>Bears activate LT Trapilo (knee) off PUP list</x:v>
      </x:c>
      <x:c r="C10" s="88" t="str">
        <x:v>ESPN NFL</x:v>
      </x:c>
      <x:c r="D10" s="91" t="n">
        <x:v>46250.946921296294</x:v>
      </x:c>
      <x:c r="E10" s="88" t="str">
        <x:v>linked</x:v>
      </x:c>
      <x:c r="F10" s="88" t="str"/>
      <x:c r="G10" s="88" t="str">
        <x:v>https://www.espn.com/nfl/story/_/id/49631637/lt-ozzy-trapilo-knee-now-eligible-practice-bears</x:v>
      </x:c>
    </x:row>
    <x:row r="11">
      <x:c r="A11" s="88" t="str">
        <x:v>headline</x:v>
      </x:c>
      <x:c r="B11" s="88" t="str">
        <x:v>Colts, Pacers donate $250K to Indiana flood relief</x:v>
      </x:c>
      <x:c r="C11" s="88" t="str">
        <x:v>ESPN NFL</x:v>
      </x:c>
      <x:c r="D11" s="91" t="n">
        <x:v>46250.946921296294</x:v>
      </x:c>
      <x:c r="E11" s="88" t="str">
        <x:v>linked</x:v>
      </x:c>
      <x:c r="F11" s="88" t="str"/>
      <x:c r="G11" s="88" t="str">
        <x:v>https://www.espn.com/nfl/story/_/id/49632088/colts-pacers-donate-125000-indiana-flood-relief</x:v>
      </x:c>
    </x:row>
    <x:row r="12">
      <x:c r="A12" s="88" t="str">
        <x:v>headline</x:v>
      </x:c>
      <x:c r="B12" s="88" t="str">
        <x:v>Kittle eyes return to practice, opener in Australia</x:v>
      </x:c>
      <x:c r="C12" s="88" t="str">
        <x:v>ESPN NFL</x:v>
      </x:c>
      <x:c r="D12" s="91" t="n">
        <x:v>46250.946921296294</x:v>
      </x:c>
      <x:c r="E12" s="88" t="str">
        <x:v>linked</x:v>
      </x:c>
      <x:c r="F12" s="88" t="str"/>
      <x:c r="G12" s="88" t="str">
        <x:v>https://www.espn.com/nfl/story/_/id/49631705/49ers-george-kittle-eyes-return-practice-opener-australia</x:v>
      </x:c>
    </x:row>
    <x:row r="13">
      <x:c r="A13" s="88" t="str">
        <x:v>headline</x:v>
      </x:c>
      <x:c r="B13" s="88" t="str">
        <x:v>Mariota has MCL sprain; Week 1 return expected</x:v>
      </x:c>
      <x:c r="C13" s="88" t="str">
        <x:v>ESPN NFL</x:v>
      </x:c>
      <x:c r="D13" s="91" t="n">
        <x:v>46250.946921296294</x:v>
      </x:c>
      <x:c r="E13" s="88" t="str">
        <x:v>linked</x:v>
      </x:c>
      <x:c r="F13" s="88" t="str"/>
      <x:c r="G13" s="88" t="str">
        <x:v>https://www.espn.com/nfl/story/_/id/49628873/commanders-qb-marcus-mariota-sprained-mcl-sources-say</x:v>
      </x:c>
    </x:row>
    <x:row r="14">
      <x:c r="A14" s="88" t="str">
        <x:v>headline</x:v>
      </x:c>
      <x:c r="B14" s="88" t="str">
        <x:v>Monken thrilled with Watson's 'awesome' 1st half</x:v>
      </x:c>
      <x:c r="C14" s="88" t="str">
        <x:v>ESPN NFL</x:v>
      </x:c>
      <x:c r="D14" s="91" t="n">
        <x:v>46250.946921296294</x:v>
      </x:c>
      <x:c r="E14" s="88" t="str">
        <x:v>linked</x:v>
      </x:c>
      <x:c r="F14" s="88" t="str"/>
      <x:c r="G14" s="88" t="str">
        <x:v>https://www.espn.com/nfl/story/_/id/49622047/deshaun-watson-returns-awesome-first-half-browns</x:v>
      </x:c>
    </x:row>
    <x:row r="15">
      <x:c r="A15" s="88" t="str">
        <x:v>headline</x:v>
      </x:c>
      <x:c r="B15" s="88" t="str">
        <x:v>Packers Pro Bowl CB Nixon no lock to be starter</x:v>
      </x:c>
      <x:c r="C15" s="88" t="str">
        <x:v>ESPN NFL</x:v>
      </x:c>
      <x:c r="D15" s="91" t="n">
        <x:v>46250.946921296294</x:v>
      </x:c>
      <x:c r="E15" s="88" t="str">
        <x:v>linked</x:v>
      </x:c>
      <x:c r="F15" s="88" t="str"/>
      <x:c r="G15" s="88" t="str">
        <x:v>https://www.espn.com/nfl/story/_/id/49631890/cb-keisean-nixon-not-guaranteed-starting-role-packers</x:v>
      </x:c>
    </x:row>
    <x:row r="16">
      <x:c r="A16" s="88" t="str">
        <x:v>headline</x:v>
      </x:c>
      <x:c r="B16" s="88" t="str">
        <x:v>Randle El takes reins, sparking Bears' 24-0 run</x:v>
      </x:c>
      <x:c r="C16" s="88" t="str">
        <x:v>ESPN NFL</x:v>
      </x:c>
      <x:c r="D16" s="91" t="n">
        <x:v>46250.946921296294</x:v>
      </x:c>
      <x:c r="E16" s="88" t="str">
        <x:v>linked</x:v>
      </x:c>
      <x:c r="F16" s="88" t="str"/>
      <x:c r="G16" s="88" t="str">
        <x:v>https://www.espn.com/nfl/story/_/id/49624578/randle-el-takes-play-calling-sparking-bears-24-0-run</x:v>
      </x:c>
    </x:row>
    <x:row r="17">
      <x:c r="A17" s="88" t="str">
        <x:v>headline</x:v>
      </x:c>
      <x:c r="B17" s="88" t="str">
        <x:v>Retired Donald works out for Rams for 2nd time</x:v>
      </x:c>
      <x:c r="C17" s="88" t="str">
        <x:v>ESPN NFL</x:v>
      </x:c>
      <x:c r="D17" s="91" t="n">
        <x:v>46250.946921296294</x:v>
      </x:c>
      <x:c r="E17" s="88" t="str">
        <x:v>linked</x:v>
      </x:c>
      <x:c r="F17" s="88" t="str"/>
      <x:c r="G17" s="88" t="str">
        <x:v>https://www.espn.com/nfl/story/_/id/49631972/retired-aaron-donald-works-rams-second</x:v>
      </x:c>
    </x:row>
    <x:row r="18">
      <x:c r="A18" s="88" t="str">
        <x:v>headline</x:v>
      </x:c>
      <x:c r="B18" s="88" t="str">
        <x:v>Day 13 of 2026 Training Camp: Cowing Shines, Defense Delivers in Red Zone</x:v>
      </x:c>
      <x:c r="C18" s="88" t="str">
        <x:v>San Francisco 49ers</x:v>
      </x:c>
      <x:c r="D18" s="91" t="n">
        <x:v>46250.945625</x:v>
      </x:c>
      <x:c r="E18" s="88" t="str">
        <x:v>linked</x:v>
      </x:c>
      <x:c r="F18" s="88" t="str"/>
      <x:c r="G18" s="88" t="str">
        <x:v>https://www.49ers.com/news/day-13-of-2026-training-camp-cowing-shines-defense-delivers-in-red-zone</x:v>
      </x:c>
    </x:row>
    <x:row r="19">
      <x:c r="A19" s="88" t="str">
        <x:v>headline</x:v>
      </x:c>
      <x:c r="B19" s="88" t="str">
        <x:v>Training Camp Notebook: Daniel Jones and the reality of where Colts are in mid-August</x:v>
      </x:c>
      <x:c r="C19" s="88" t="str">
        <x:v>Indianapolis Colts</x:v>
      </x:c>
      <x:c r="D19" s="91" t="n">
        <x:v>46250.94461805555</x:v>
      </x:c>
      <x:c r="E19" s="88" t="str">
        <x:v>linked</x:v>
      </x:c>
      <x:c r="F19" s="88" t="str"/>
      <x:c r="G19" s="88" t="str">
        <x:v>https://www.colts.com/news/training-camp-notebook-daniel-jones-and-the-reality-of-where-colts-are-in-mid-august</x:v>
      </x:c>
    </x:row>
    <x:row r="20">
      <x:c r="A20" s="88" t="str">
        <x:v>headline</x:v>
      </x:c>
      <x:c r="B20" s="88" t="str">
        <x:v>Harris Hits: C.J. Stroud and the Texans Offense Have Their Best Day of Training Camp</x:v>
      </x:c>
      <x:c r="C20" s="88" t="str">
        <x:v>Houston Texans</x:v>
      </x:c>
      <x:c r="D20" s="91" t="n">
        <x:v>46250.944560185184</x:v>
      </x:c>
      <x:c r="E20" s="88" t="str">
        <x:v>linked</x:v>
      </x:c>
      <x:c r="F20" s="88" t="str"/>
      <x:c r="G20" s="88" t="str">
        <x:v>https://www.houstontexans.com/news/harris-hits-c-j-stroud-and-the-texans-offense-have-their-best-day-of-training-camp</x:v>
      </x:c>
    </x:row>
    <x:row r="21">
      <x:c r="A21" s="88" t="str">
        <x:v>headline</x:v>
      </x:c>
      <x:c r="B21" s="88" t="str">
        <x:v>Fantasy buzz: Jaxson Dart's risk and reward both on display Saturday</x:v>
      </x:c>
      <x:c r="C21" s="88" t="str">
        <x:v>ESPN NFL</x:v>
      </x:c>
      <x:c r="D21" s="91" t="n">
        <x:v>46250.93313657407</x:v>
      </x:c>
      <x:c r="E21" s="88" t="str">
        <x:v>linked</x:v>
      </x:c>
      <x:c r="F21" s="88" t="str"/>
      <x:c r="G21" s="88" t="str">
        <x:v>https://www.espn.com/fantasy/football/story/_/id/40699880/fantasy-football-injuries-position-battles-nfl-news-analysis</x:v>
      </x:c>
    </x:row>
    <x:row r="22">
      <x:c r="A22" s="88" t="str">
        <x:v>headline</x:v>
      </x:c>
      <x:c r="B22" s="88" t="str">
        <x:v>NFL preseason Week 1 takeaways: Ja'Kobi Lane scores touchdown to continue banner preseason</x:v>
      </x:c>
      <x:c r="C22" s="88" t="str">
        <x:v>ESPN NFL</x:v>
      </x:c>
      <x:c r="D22" s="91" t="n">
        <x:v>46250.93313657407</x:v>
      </x:c>
      <x:c r="E22" s="88" t="str">
        <x:v>linked</x:v>
      </x:c>
      <x:c r="F22" s="88" t="str"/>
      <x:c r="G22" s="88" t="str">
        <x:v>https://www.espn.com/nfl/story/_/id/49600984/2026-nfl-preseason-week-1-takeaways-analysis</x:v>
      </x:c>
    </x:row>
    <x:row r="23">
      <x:c r="A23" s="88" t="str">
        <x:v>headline</x:v>
      </x:c>
      <x:c r="B23" s="88" t="str">
        <x:v>Five Patriots who stood out in the first preseason game vs. the Colts</x:v>
      </x:c>
      <x:c r="C23" s="88" t="str">
        <x:v>ESPN NFL</x:v>
      </x:c>
      <x:c r="D23" s="91" t="n">
        <x:v>46250.93256944444</x:v>
      </x:c>
      <x:c r="E23" s="88" t="str">
        <x:v>linked</x:v>
      </x:c>
      <x:c r="F23" s="88" t="str"/>
      <x:c r="G23" s="88" t="str">
        <x:v>https://www.espn.com/nfl/story/_/id/49622601/new-england-patriots-preseason-risers-game</x:v>
      </x:c>
    </x:row>
    <x:row r="24">
      <x:c r="A24" s="88" t="str">
        <x:v>headline</x:v>
      </x:c>
      <x:c r="B24" s="88" t="str">
        <x:v>Why the Titans believe Brian Daboll can maximize Cam Ward's potential</x:v>
      </x:c>
      <x:c r="C24" s="88" t="str">
        <x:v>ESPN NFL</x:v>
      </x:c>
      <x:c r="D24" s="91" t="n">
        <x:v>46250.93256944444</x:v>
      </x:c>
      <x:c r="E24" s="88" t="str">
        <x:v>linked</x:v>
      </x:c>
      <x:c r="F24" s="88" t="str"/>
      <x:c r="G24" s="88" t="str">
        <x:v>https://www.espn.com/nfl/story/_/id/49619516/why-titans-believe-brian-daboll-maximize-cam-ward-potential</x:v>
      </x:c>
    </x:row>
    <x:row r="25">
      <x:c r="A25" s="88" t="str">
        <x:v>headline</x:v>
      </x:c>
      <x:c r="B25" s="88" t="str">
        <x:v>Cheat Sheet Central: PPR, non-PPR, depth charts</x:v>
      </x:c>
      <x:c r="C25" s="88" t="str">
        <x:v>ESPN NFL</x:v>
      </x:c>
      <x:c r="D25" s="91" t="n">
        <x:v>46250.932442129626</x:v>
      </x:c>
      <x:c r="E25" s="88" t="str">
        <x:v>linked</x:v>
      </x:c>
      <x:c r="F25" s="88" t="str"/>
      <x:c r="G25" s="88" t="str">
        <x:v>https://www.espn.com/fantasy/football/story/_/page/FFCheatSheetCent26-48640423/2026-fantasy-football-rankings-cheat-sheet-depth-charts-ppr</x:v>
      </x:c>
    </x:row>
    <x:row r="26">
      <x:c r="A26" s="88" t="str">
        <x:v>headline</x:v>
      </x:c>
      <x:c r="B26" s="88" t="str">
        <x:v>Karabell's 'Do Draft' list: Henry, Mahomes among undervalued players to pick</x:v>
      </x:c>
      <x:c r="C26" s="88" t="str">
        <x:v>ESPN NFL</x:v>
      </x:c>
      <x:c r="D26" s="91" t="n">
        <x:v>46250.932442129626</x:v>
      </x:c>
      <x:c r="E26" s="88" t="str">
        <x:v>linked</x:v>
      </x:c>
      <x:c r="F26" s="88" t="str"/>
      <x:c r="G26" s="88" t="str">
        <x:v>https://www.espn.com/fantasy/football/story/_/id/49556816/2026-fantasy-football-sleepers-value-picks-undervalued-karabell</x:v>
      </x:c>
    </x:row>
    <x:row r="27">
      <x:c r="A27" s="88" t="str">
        <x:v>headline</x:v>
      </x:c>
      <x:c r="B27" s="88" t="str">
        <x:v>5 things learned at Packers training camp – Aug. 16</x:v>
      </x:c>
      <x:c r="C27" s="88" t="str">
        <x:v>Green Bay Packers</x:v>
      </x:c>
      <x:c r="D27" s="91" t="n">
        <x:v>46250.927083333336</x:v>
      </x:c>
      <x:c r="E27" s="88" t="str">
        <x:v>linked</x:v>
      </x:c>
      <x:c r="F27" s="88" t="str"/>
      <x:c r="G27" s="88" t="str">
        <x:v>https://www.packers.com/news/5-things-learned-at-packers-training-camp-aug-16-2026</x:v>
      </x:c>
    </x:row>
    <x:row r="28">
      <x:c r="A28" s="88" t="str">
        <x:v>headline</x:v>
      </x:c>
      <x:c r="B28" s="88" t="str">
        <x:v>Training Camp Report | Joe Burrow Tames The Dog Days With Icy Execution</x:v>
      </x:c>
      <x:c r="C28" s="88" t="str">
        <x:v>Cincinnati Bengals</x:v>
      </x:c>
      <x:c r="D28" s="91" t="n">
        <x:v>46250.91501157408</x:v>
      </x:c>
      <x:c r="E28" s="88" t="str">
        <x:v>linked</x:v>
      </x:c>
      <x:c r="F28" s="88" t="str"/>
      <x:c r="G28" s="88" t="str">
        <x:v>https://www.bengals.com/news/training-camp-report-joe-burrow-tames-dog-days</x:v>
      </x:c>
    </x:row>
    <x:row r="29">
      <x:c r="A29" s="88" t="str">
        <x:v>headline</x:v>
      </x:c>
      <x:c r="B29" s="88" t="str">
        <x:v>Raiders sign WR Noah Brown</x:v>
      </x:c>
      <x:c r="C29" s="88" t="str">
        <x:v>Las Vegas Raiders</x:v>
      </x:c>
      <x:c r="D29" s="91" t="n">
        <x:v>46250.899305555555</x:v>
      </x:c>
      <x:c r="E29" s="88" t="str">
        <x:v>linked</x:v>
      </x:c>
      <x:c r="F29" s="88" t="str"/>
      <x:c r="G29" s="88" t="str">
        <x:v>https://www.raiders.com/news/raiders-sign-wr-noah-brown-release-benito-jones-2026-nfl-training-camp-transactions</x:v>
      </x:c>
    </x:row>
    <x:row r="30">
      <x:c r="A30" s="88" t="str">
        <x:v>headline</x:v>
      </x:c>
      <x:c r="B30" s="88" t="str">
        <x:v>Blake Gillikin's Back And Ready To Put Those Issues Behind Him</x:v>
      </x:c>
      <x:c r="C30" s="88" t="str">
        <x:v>Arizona Cardinals</x:v>
      </x:c>
      <x:c r="D30" s="91" t="n">
        <x:v>46250.89585648148</x:v>
      </x:c>
      <x:c r="E30" s="88" t="str">
        <x:v>linked</x:v>
      </x:c>
      <x:c r="F30" s="88" t="str"/>
      <x:c r="G30" s="88" t="str">
        <x:v>https://www.azcardinals.com/news/blake-gillikin-s-back-and-ready-to-put-those-issues-behind-him</x:v>
      </x:c>
    </x:row>
    <x:row r="31">
      <x:c r="A31" s="88" t="str">
        <x:v>headline</x:v>
      </x:c>
      <x:c r="B31" s="88" t="str">
        <x:v>2026 Camp Blog: 'It's football, it's physical'</x:v>
      </x:c>
      <x:c r="C31" s="88" t="str">
        <x:v>Pittsburgh Steelers</x:v>
      </x:c>
      <x:c r="D31" s="91" t="n">
        <x:v>46250.87569444445</x:v>
      </x:c>
      <x:c r="E31" s="88" t="str">
        <x:v>linked</x:v>
      </x:c>
      <x:c r="F31" s="88" t="str"/>
      <x:c r="G31" s="88" t="str">
        <x:v>https://www.steelers.com/news/2026-camp-blog-embracing-change</x:v>
      </x:c>
    </x:row>
    <x:row r="32">
      <x:c r="A32" s="88" t="str">
        <x:v>headline</x:v>
      </x:c>
      <x:c r="B32" s="88" t="str">
        <x:v>Chargers Training Camp Report: Young Offensive Linemen Rise to Challenge on Day 14</x:v>
      </x:c>
      <x:c r="C32" s="88" t="str">
        <x:v>Los Angeles Chargers</x:v>
      </x:c>
      <x:c r="D32" s="91" t="n">
        <x:v>46250.86740740741</x:v>
      </x:c>
      <x:c r="E32" s="88" t="str">
        <x:v>linked</x:v>
      </x:c>
      <x:c r="F32" s="88" t="str"/>
      <x:c r="G32" s="88" t="str">
        <x:v>https://www.chargers.com/news/training-camp-report-travis-burke-day-14</x:v>
      </x:c>
    </x:row>
    <x:row r="33">
      <x:c r="A33" s="88" t="str">
        <x:v>headline</x:v>
      </x:c>
      <x:c r="B33" s="88" t="str">
        <x:v>Ravens Sign Running Back Jonathan Ward</x:v>
      </x:c>
      <x:c r="C33" s="88" t="str">
        <x:v>Baltimore Ravens</x:v>
      </x:c>
      <x:c r="D33" s="91" t="n">
        <x:v>46250.86329861111</x:v>
      </x:c>
      <x:c r="E33" s="88" t="str">
        <x:v>linked</x:v>
      </x:c>
      <x:c r="F33" s="88" t="str"/>
      <x:c r="G33" s="88" t="str">
        <x:v>https://www.baltimoreravens.com/news/ravens-sign-jonathan-ward-running-back</x:v>
      </x:c>
    </x:row>
    <x:row r="34">
      <x:c r="A34" s="88" t="str">
        <x:v>headline</x:v>
      </x:c>
      <x:c r="B34" s="88" t="str">
        <x:v>Training Camp Report: Aug. 16</x:v>
      </x:c>
      <x:c r="C34" s="88" t="str">
        <x:v>Pittsburgh Steelers</x:v>
      </x:c>
      <x:c r="D34" s="91" t="n">
        <x:v>46250.84652777778</x:v>
      </x:c>
      <x:c r="E34" s="88" t="str">
        <x:v>linked</x:v>
      </x:c>
      <x:c r="F34" s="88" t="str"/>
      <x:c r="G34" s="88" t="str">
        <x:v>https://www.steelers.com/news/training-camp-report-aug-16</x:v>
      </x:c>
    </x:row>
    <x:row r="35">
      <x:c r="A35" s="88" t="str">
        <x:v>headline</x:v>
      </x:c>
      <x:c r="B35" s="88" t="str">
        <x:v>Roster Moves: Chicago Bears activate Ozzy Trapilo</x:v>
      </x:c>
      <x:c r="C35" s="88" t="str">
        <x:v>Chicago Bears</x:v>
      </x:c>
      <x:c r="D35" s="91" t="n">
        <x:v>46250.833761574075</x:v>
      </x:c>
      <x:c r="E35" s="88" t="str">
        <x:v>linked</x:v>
      </x:c>
      <x:c r="F35" s="88" t="str"/>
      <x:c r="G35" s="88" t="str">
        <x:v>https://www.chicagobears.com/news/roster-moves-chicago-bears-activate-ozzy-trapilo</x:v>
      </x:c>
    </x:row>
    <x:row r="36">
      <x:c r="A36" s="88" t="str">
        <x:v>headline</x:v>
      </x:c>
      <x:c r="B36" s="88" t="str">
        <x:v>Colts join Indiana Pacers, Indiana Fever, Noblesville Boom to donate $250,000 to Indiana flood relief efforts</x:v>
      </x:c>
      <x:c r="C36" s="88" t="str">
        <x:v>Indianapolis Colts</x:v>
      </x:c>
      <x:c r="D36" s="91" t="n">
        <x:v>46250.83354166667</x:v>
      </x:c>
      <x:c r="E36" s="88" t="str">
        <x:v>linked</x:v>
      </x:c>
      <x:c r="F36" s="88" t="str"/>
      <x:c r="G36" s="88" t="str">
        <x:v>https://www.colts.com/news/colts-join-indiana-pacers-indiana-fever-noblesville-boom-to-donate-250-000-to-indiana-flood-relief-efforts</x:v>
      </x:c>
    </x:row>
    <x:row r="37">
      <x:c r="A37" s="88" t="str">
        <x:v>headline</x:v>
      </x:c>
      <x:c r="B37" s="88" t="str">
        <x:v>San Francisco 49ers Gold Rush Cheerleaders Lead History-Making Melbourne Moment</x:v>
      </x:c>
      <x:c r="C37" s="88" t="str">
        <x:v>San Francisco 49ers</x:v>
      </x:c>
      <x:c r="D37" s="91" t="n">
        <x:v>46250.833333333336</x:v>
      </x:c>
      <x:c r="E37" s="88" t="str">
        <x:v>linked</x:v>
      </x:c>
      <x:c r="F37" s="88" t="str"/>
      <x:c r="G37" s="88" t="str">
        <x:v>https://www.49ers.com/news/san-francisco-49ers-gold-rush-cheerleaders-lead-history-making-melbourne-moment</x:v>
      </x:c>
    </x:row>
    <x:row r="38">
      <x:c r="A38" s="88" t="str">
        <x:v>headline</x:v>
      </x:c>
      <x:c r="B38" s="88" t="str">
        <x:v>Training Camp Notebook 8/16: Versatility continues to shine through in Raiders offense</x:v>
      </x:c>
      <x:c r="C38" s="88" t="str">
        <x:v>Las Vegas Raiders</x:v>
      </x:c>
      <x:c r="D38" s="91" t="n">
        <x:v>46250.819502314815</x:v>
      </x:c>
      <x:c r="E38" s="88" t="str">
        <x:v>linked</x:v>
      </x:c>
      <x:c r="F38" s="88" t="str"/>
      <x:c r="G38" s="88" t="str">
        <x:v>https://www.raiders.com/news/training-camp-notebook-8-16-versatility-continues-to-shine-through-in-raiders-offense</x:v>
      </x:c>
    </x:row>
    <x:row r="39">
      <x:c r="A39" s="88" t="str">
        <x:v>headline</x:v>
      </x:c>
      <x:c r="B39" s="88" t="str">
        <x:v>James Conner And A Return To Performance</x:v>
      </x:c>
      <x:c r="C39" s="88" t="str">
        <x:v>Arizona Cardinals</x:v>
      </x:c>
      <x:c r="D39" s="91" t="n">
        <x:v>46250.81648148148</x:v>
      </x:c>
      <x:c r="E39" s="88" t="str">
        <x:v>linked</x:v>
      </x:c>
      <x:c r="F39" s="88" t="str"/>
      <x:c r="G39" s="88" t="str">
        <x:v>https://www.azcardinals.com/news/james-conner-return-to-performance-cardinals-jeremiyah-love</x:v>
      </x:c>
    </x:row>
    <x:row r="40">
      <x:c r="A40" s="88" t="str">
        <x:v>headline</x:v>
      </x:c>
      <x:c r="B40" s="88" t="str">
        <x:v>Buccaneers' Next Game: Chiefs Visit Tampa for Preseason Tilt</x:v>
      </x:c>
      <x:c r="C40" s="88" t="str">
        <x:v>Tampa Bay Buccaneers</x:v>
      </x:c>
      <x:c r="D40" s="91" t="n">
        <x:v>46250.80930555556</x:v>
      </x:c>
      <x:c r="E40" s="88" t="str">
        <x:v>linked</x:v>
      </x:c>
      <x:c r="F40" s="88" t="str"/>
      <x:c r="G40" s="88" t="str">
        <x:v>https://www.buccaneers.com/news/next-game-kansas-city-chiefs-vs-tampa-bay-buccaneers-nfl-preseason-week-2-2026</x:v>
      </x:c>
    </x:row>
    <x:row r="41">
      <x:c r="A41" s="88" t="str">
        <x:v>headline</x:v>
      </x:c>
      <x:c r="B41" s="88" t="str">
        <x:v>Camp Notes: Competition for remaining WR spots an 'all-out' battle</x:v>
      </x:c>
      <x:c r="C41" s="88" t="str">
        <x:v>Detroit Lions</x:v>
      </x:c>
      <x:c r="D41" s="91" t="n">
        <x:v>46250.79513888889</x:v>
      </x:c>
      <x:c r="E41" s="88" t="str">
        <x:v>linked</x:v>
      </x:c>
      <x:c r="F41" s="88" t="str"/>
      <x:c r="G41" s="88" t="str">
        <x:v>https://www.detroitlions.com/news/camp-notes-wide-receiver-battle-heating-up-martin-wilson-black</x:v>
      </x:c>
    </x:row>
    <x:row r="42">
      <x:c r="A42" s="88" t="str">
        <x:v>headline</x:v>
      </x:c>
      <x:c r="B42" s="88" t="str">
        <x:v>Cole Payton throws a touchdown pass in NFL preseason debut</x:v>
      </x:c>
      <x:c r="C42" s="88" t="str">
        <x:v>Philadelphia Eagles</x:v>
      </x:c>
      <x:c r="D42" s="91" t="n">
        <x:v>46250.791712962964</x:v>
      </x:c>
      <x:c r="E42" s="88" t="str">
        <x:v>linked</x:v>
      </x:c>
      <x:c r="F42" s="88" t="str"/>
      <x:c r="G42" s="88" t="str">
        <x:v>https://www.philadelphiaeagles.com/news/cole-payton-throws-a-touchdown-pass-in-nfl-preseason-debut-eagles-ravens</x:v>
      </x:c>
    </x:row>
    <x:row r="43">
      <x:c r="A43" s="88" t="str">
        <x:v>headline</x:v>
      </x:c>
      <x:c r="B43" s="88" t="str">
        <x:v>📸 Game Photos: Giants host the Vikings</x:v>
      </x:c>
      <x:c r="C43" s="88" t="str">
        <x:v>New York Giants</x:v>
      </x:c>
      <x:c r="D43" s="91" t="n">
        <x:v>46250.78611111111</x:v>
      </x:c>
      <x:c r="E43" s="88" t="str">
        <x:v>linked</x:v>
      </x:c>
      <x:c r="F43" s="88" t="str"/>
      <x:c r="G43" s="88" t="str">
        <x:v>https://www.giants.com/photos/game-photos-giants-host-the-vikings</x:v>
      </x:c>
    </x:row>
    <x:row r="44">
      <x:c r="A44" s="88" t="str">
        <x:v>headline</x:v>
      </x:c>
      <x:c r="B44" s="88" t="str">
        <x:v>Instant Analysis: Takeaways from preseason opener</x:v>
      </x:c>
      <x:c r="C44" s="88" t="str">
        <x:v>New York Giants</x:v>
      </x:c>
      <x:c r="D44" s="91" t="n">
        <x:v>46250.78472222222</x:v>
      </x:c>
      <x:c r="E44" s="88" t="str">
        <x:v>linked</x:v>
      </x:c>
      <x:c r="F44" s="88" t="str"/>
      <x:c r="G44" s="88" t="str">
        <x:v>https://www.giants.com/news/giants-vs-vikings-highlights-preseason-jaxson-dart-malachi-fields-john-harbaugh-arvell-reese</x:v>
      </x:c>
    </x:row>
    <x:row r="45">
      <x:c r="A45" s="88" t="str">
        <x:v>headline</x:v>
      </x:c>
      <x:c r="B45" s="88" t="str">
        <x:v>Five Observations from Day 12 of Bengals Training Camp</x:v>
      </x:c>
      <x:c r="C45" s="88" t="str">
        <x:v>Cincinnati Bengals</x:v>
      </x:c>
      <x:c r="D45" s="91" t="n">
        <x:v>46250.78126157408</x:v>
      </x:c>
      <x:c r="E45" s="88" t="str">
        <x:v>linked</x:v>
      </x:c>
      <x:c r="F45" s="88" t="str"/>
      <x:c r="G45" s="88" t="str">
        <x:v>https://www.bengals.com/news/five-observations-day-12-bengals-training-camp-august-16-2026</x:v>
      </x:c>
    </x:row>
    <x:row r="46">
      <x:c r="A46" s="88" t="str">
        <x:v>headline</x:v>
      </x:c>
      <x:c r="B46" s="88" t="str">
        <x:v>Chiefs Fall to Rams, 20-12, in Preseason Opener</x:v>
      </x:c>
      <x:c r="C46" s="88" t="str">
        <x:v>Kansas City Chiefs</x:v>
      </x:c>
      <x:c r="D46" s="91" t="n">
        <x:v>46250.772152777776</x:v>
      </x:c>
      <x:c r="E46" s="88" t="str">
        <x:v>linked</x:v>
      </x:c>
      <x:c r="F46" s="88" t="str"/>
      <x:c r="G46" s="88" t="str">
        <x:v>https://www.chiefs.com/news/chiefs-fall-to-rams-20-12-in-preseason-opener</x:v>
      </x:c>
    </x:row>
    <x:row r="47">
      <x:c r="A47" s="88" t="str">
        <x:v>headline</x:v>
      </x:c>
      <x:c r="B47" s="88" t="str">
        <x:v>Sunday Mailbag: Jim Wyatt Answers Questions From Titans Fans</x:v>
      </x:c>
      <x:c r="C47" s="88" t="str">
        <x:v>Tennessee Titans</x:v>
      </x:c>
      <x:c r="D47" s="91" t="n">
        <x:v>46250.770578703705</x:v>
      </x:c>
      <x:c r="E47" s="88" t="str">
        <x:v>linked</x:v>
      </x:c>
      <x:c r="F47" s="88" t="str"/>
      <x:c r="G47" s="88" t="str">
        <x:v>https://www.tennesseetitans.com/news/sunday-mailbag-jim-wyatt-answers-questions-from-titans-fans-x8610</x:v>
      </x:c>
    </x:row>
    <x:row r="48">
      <x:c r="A48" s="88" t="str">
        <x:v>headline</x:v>
      </x:c>
      <x:c r="B48" s="88" t="str">
        <x:v>TWENTYMAN: Training camp Day 13 observations</x:v>
      </x:c>
      <x:c r="C48" s="88" t="str">
        <x:v>Detroit Lions</x:v>
      </x:c>
      <x:c r="D48" s="91" t="n">
        <x:v>46250.75347222222</x:v>
      </x:c>
      <x:c r="E48" s="88" t="str">
        <x:v>linked</x:v>
      </x:c>
      <x:c r="F48" s="88" t="str"/>
      <x:c r="G48" s="88" t="str">
        <x:v>https://www.detroitlions.com/news/detroit-lions-training-camp-day-13-observations-hutchinson-gibbs-teslaa</x:v>
      </x:c>
    </x:row>
    <x:row r="49">
      <x:c r="A49" s="88" t="str">
        <x:v>headline</x:v>
      </x:c>
      <x:c r="B49" s="88" t="str">
        <x:v>Titans Sign TE Matt Lauter, RB Dominic Richardson While Placing Jaylen Harrell and Jaren Kanak on Injured Reserve</x:v>
      </x:c>
      <x:c r="C49" s="88" t="str">
        <x:v>Tennessee Titans</x:v>
      </x:c>
      <x:c r="D49" s="91" t="n">
        <x:v>46250.74383101852</x:v>
      </x:c>
      <x:c r="E49" s="88" t="str">
        <x:v>linked</x:v>
      </x:c>
      <x:c r="F49" s="88" t="str"/>
      <x:c r="G49" s="88" t="str">
        <x:v>https://www.tennesseetitans.com/news/titans-sign-te-matt-lauter-rb-dominic-richardson-while-placing-jaylen-harrell-and-jaren-kanak-on-injured-reserve</x:v>
      </x:c>
    </x:row>
    <x:row r="50">
      <x:c r="A50" s="88" t="str">
        <x:v>headline</x:v>
      </x:c>
      <x:c r="B50" s="88" t="str">
        <x:v>Training Camp Tracker: Latest news, notes &amp; roster moves</x:v>
      </x:c>
      <x:c r="C50" s="88" t="str">
        <x:v>New York Giants</x:v>
      </x:c>
      <x:c r="D50" s="91" t="n">
        <x:v>46250.72361111111</x:v>
      </x:c>
      <x:c r="E50" s="88" t="str">
        <x:v>linked</x:v>
      </x:c>
      <x:c r="F50" s="88" t="str"/>
      <x:c r="G50" s="88" t="str">
        <x:v>https://www.giants.com/news/training-camp-tracker-latest-news-notes-roster-moves-transactions</x:v>
      </x:c>
    </x:row>
    <x:row r="51">
      <x:c r="A51" s="88" t="str">
        <x:v>headline</x:v>
      </x:c>
      <x:c r="B51" s="88" t="str">
        <x:v>Ayden Garnes Puts on Show for His Family at MetLife</x:v>
      </x:c>
      <x:c r="C51" s="88" t="str">
        <x:v>Tampa Bay Buccaneers</x:v>
      </x:c>
      <x:c r="D51" s="91" t="n">
        <x:v>46250.708333333336</x:v>
      </x:c>
      <x:c r="E51" s="88" t="str">
        <x:v>linked</x:v>
      </x:c>
      <x:c r="F51" s="88" t="str"/>
      <x:c r="G51" s="88" t="str">
        <x:v>https://www.buccaneers.com/news/bucs-ayden-garnes-puts-show-for-family-pick-six-preseason-jets</x:v>
      </x:c>
    </x:row>
    <x:row r="52">
      <x:c r="A52" s="88" t="str">
        <x:v>headline</x:v>
      </x:c>
      <x:c r="B52" s="88" t="str">
        <x:v>Spagnola: Breaking old fad of slow starts</x:v>
      </x:c>
      <x:c r="C52" s="88" t="str">
        <x:v>Dallas Cowboys</x:v>
      </x:c>
      <x:c r="D52" s="91" t="n">
        <x:v>46250.708333333336</x:v>
      </x:c>
      <x:c r="E52" s="88" t="str">
        <x:v>linked</x:v>
      </x:c>
      <x:c r="F52" s="88" t="str"/>
      <x:c r="G52" s="88" t="str">
        <x:v>https://www.dallascowboys.com/news/spagnola-breaking-old-fad-of-slow-starts</x:v>
      </x:c>
    </x:row>
    <x:row r="53">
      <x:c r="A53" s="88" t="str">
        <x:v>headline</x:v>
      </x:c>
      <x:c r="B53" s="88" t="str">
        <x:v>Dolphins sign quarterback Mark Gronowski and inside linebacker Cam Riley</x:v>
      </x:c>
      <x:c r="C53" s="88" t="str">
        <x:v>Miami Dolphins</x:v>
      </x:c>
      <x:c r="D53" s="91" t="n">
        <x:v>46250.70746527778</x:v>
      </x:c>
      <x:c r="E53" s="88" t="str">
        <x:v>linked</x:v>
      </x:c>
      <x:c r="F53" s="88" t="str"/>
      <x:c r="G53" s="88" t="str">
        <x:v>https://www.miamidolphins.com/news/dolphins-sign-quarterback-mark-gronowski-and-inside-linebacker-cam-riley</x:v>
      </x:c>
    </x:row>
    <x:row r="54">
      <x:c r="A54" s="88" t="str">
        <x:v>headline</x:v>
      </x:c>
      <x:c r="B54" s="88" t="str">
        <x:v>Houston Texans Transactions (8-16-2026)</x:v>
      </x:c>
      <x:c r="C54" s="88" t="str">
        <x:v>Houston Texans</x:v>
      </x:c>
      <x:c r="D54" s="91" t="n">
        <x:v>46250.70408564815</x:v>
      </x:c>
      <x:c r="E54" s="88" t="str">
        <x:v>linked</x:v>
      </x:c>
      <x:c r="F54" s="88" t="str"/>
      <x:c r="G54" s="88" t="str">
        <x:v>https://www.houstontexans.com/news/houston-texans-transactions-8-16-2026</x:v>
      </x:c>
    </x:row>
    <x:row r="55">
      <x:c r="A55" s="88" t="str">
        <x:v>headline</x:v>
      </x:c>
      <x:c r="B55" s="88" t="str">
        <x:v>Quick Thoughts Ahead of Jaguars' Preseason Week 2 vs. Panthers</x:v>
      </x:c>
      <x:c r="C55" s="88" t="str">
        <x:v>Jacksonville Jaguars</x:v>
      </x:c>
      <x:c r="D55" s="91" t="n">
        <x:v>46250.66675925926</x:v>
      </x:c>
      <x:c r="E55" s="88" t="str">
        <x:v>linked</x:v>
      </x:c>
      <x:c r="F55" s="88" t="str"/>
      <x:c r="G55" s="88" t="str">
        <x:v>https://www.jaguars.com/news/quick-thoughts-ahead-of-jaguars-preseason-week-2-vs-panthers</x:v>
      </x:c>
    </x:row>
    <x:row r="56">
      <x:c r="A56" s="88" t="str">
        <x:v>headline</x:v>
      </x:c>
      <x:c r="B56" s="88" t="str">
        <x:v>Live Look-In: Packers Training Camp | August 16, 2026</x:v>
      </x:c>
      <x:c r="C56" s="88" t="str">
        <x:v>Green Bay Packers</x:v>
      </x:c>
      <x:c r="D56" s="91" t="n">
        <x:v>46250.63728009259</x:v>
      </x:c>
      <x:c r="E56" s="88" t="str">
        <x:v>linked</x:v>
      </x:c>
      <x:c r="F56" s="88" t="str"/>
      <x:c r="G56" s="88" t="str">
        <x:v>https://www.packers.com/news/live-look-in-packers-training-camp-august-16-2026</x:v>
      </x:c>
    </x:row>
    <x:row r="57">
      <x:c r="A57" s="88" t="str">
        <x:v>headline</x:v>
      </x:c>
      <x:c r="B57" s="88" t="str">
        <x:v>Ravens Fans Rave About M&amp;T Bank Stadium Upgrades</x:v>
      </x:c>
      <x:c r="C57" s="88" t="str">
        <x:v>Baltimore Ravens</x:v>
      </x:c>
      <x:c r="D57" s="91" t="n">
        <x:v>46250.623344907406</x:v>
      </x:c>
      <x:c r="E57" s="88" t="str">
        <x:v>linked</x:v>
      </x:c>
      <x:c r="F57" s="88" t="str"/>
      <x:c r="G57" s="88" t="str">
        <x:v>https://www.baltimoreravens.com/news/ravens-mt-bank-stadium-upgrades-fans-rave-live-music-pregame-experience</x:v>
      </x:c>
    </x:row>
    <x:row r="58">
      <x:c r="A58" s="88" t="str">
        <x:v>headline</x:v>
      </x:c>
      <x:c r="B58" s="88" t="str">
        <x:v>Spadaro: Uar Bernard experiences a 'dream-come-true' moment</x:v>
      </x:c>
      <x:c r="C58" s="88" t="str">
        <x:v>Philadelphia Eagles</x:v>
      </x:c>
      <x:c r="D58" s="91" t="n">
        <x:v>46250.604166666664</x:v>
      </x:c>
      <x:c r="E58" s="88" t="str">
        <x:v>linked</x:v>
      </x:c>
      <x:c r="F58" s="88" t="str"/>
      <x:c r="G58" s="88" t="str">
        <x:v>https://www.philadelphiaeagles.com/news/uar-bernard-experiences-a-dream-come-true-moment-eagles-ravens</x:v>
      </x:c>
    </x:row>
    <x:row r="59">
      <x:c r="A59" s="88" t="str">
        <x:v>headline</x:v>
      </x:c>
      <x:c r="B59" s="88" t="str">
        <x:v>LIONS DAILY: Unsung defender caught Dan Campbell's eye in preseason opener</x:v>
      </x:c>
      <x:c r="C59" s="88" t="str">
        <x:v>Detroit Lions</x:v>
      </x:c>
      <x:c r="D59" s="91" t="n">
        <x:v>46250.57986111111</x:v>
      </x:c>
      <x:c r="E59" s="88" t="str">
        <x:v>linked</x:v>
      </x:c>
      <x:c r="F59" s="88" t="str"/>
      <x:c r="G59" s="88" t="str">
        <x:v>https://www.detroitlions.com/news/lions-daily-unsung-lions-defender-caught-dan-campbell-s-eye-in-preseason-opener</x:v>
      </x:c>
    </x:row>
    <x:row r="60">
      <x:c r="A60" s="88" t="str">
        <x:v>headline</x:v>
      </x:c>
      <x:c r="B60" s="88" t="str">
        <x:v>Five things to know about the New Orleans Saints for Sunday, August 16</x:v>
      </x:c>
      <x:c r="C60" s="88" t="str">
        <x:v>New Orleans Saints</x:v>
      </x:c>
      <x:c r="D60" s="91" t="n">
        <x:v>46250.5522337963</x:v>
      </x:c>
      <x:c r="E60" s="88" t="str">
        <x:v>linked</x:v>
      </x:c>
      <x:c r="F60" s="88" t="str"/>
      <x:c r="G60" s="88" t="str">
        <x:v>https://www.neworleanssaints.com/news/five-things-know-saints-preseason-loss-jaguars-sunday-august-16</x:v>
      </x:c>
    </x:row>
    <x:row r="61">
      <x:c r="A61" s="88" t="str">
        <x:v>headline</x:v>
      </x:c>
      <x:c r="B61" s="88" t="str">
        <x:v>Morning Break: Zach Wilson shines, Saints show promise in preseason opener</x:v>
      </x:c>
      <x:c r="C61" s="88" t="str">
        <x:v>New Orleans Saints</x:v>
      </x:c>
      <x:c r="D61" s="91" t="n">
        <x:v>46250.541817129626</x:v>
      </x:c>
      <x:c r="E61" s="88" t="str">
        <x:v>linked</x:v>
      </x:c>
      <x:c r="F61" s="88" t="str"/>
      <x:c r="G61" s="88" t="str">
        <x:v>https://www.neworleanssaints.com/news/morning-break-zach-wilson-shines-saints-show-promise-in-preseason-opener-new-orleans-news-headlines-8-16-2026</x:v>
      </x:c>
    </x:row>
    <x:row r="62">
      <x:c r="A62" s="88" t="str">
        <x:v>headline</x:v>
      </x:c>
      <x:c r="B62" s="88" t="str">
        <x:v>Bryan Cook Comes Home To A City He Never Left: 'This Is My Heart'</x:v>
      </x:c>
      <x:c r="C62" s="88" t="str">
        <x:v>Cincinnati Bengals</x:v>
      </x:c>
      <x:c r="D62" s="91" t="n">
        <x:v>46250.541666666664</x:v>
      </x:c>
      <x:c r="E62" s="88" t="str">
        <x:v>linked</x:v>
      </x:c>
      <x:c r="F62" s="88" t="str"/>
      <x:c r="G62" s="88" t="str">
        <x:v>https://www.bengals.com/news/bryan-cook-comes-home-to-a-city-he-never-left-this-is-my-heart</x:v>
      </x:c>
    </x:row>
    <x:row r="63">
      <x:c r="A63" s="88" t="str">
        <x:v>headline</x:v>
      </x:c>
      <x:c r="B63" s="88" t="str">
        <x:v>Jets Punter Austin McNamara 'Feels Explosive' After Adding Weight in the Offseason</x:v>
      </x:c>
      <x:c r="C63" s="88" t="str">
        <x:v>New York Jets</x:v>
      </x:c>
      <x:c r="D63" s="91" t="n">
        <x:v>46250.506944444445</x:v>
      </x:c>
      <x:c r="E63" s="88" t="str">
        <x:v>linked</x:v>
      </x:c>
      <x:c r="F63" s="88" t="str"/>
      <x:c r="G63" s="88" t="str">
        <x:v>https://www.newyorkjets.com/news/punter-austin-mcnamara-feels-explosive-for-jets-after-adding-weight-08-16-2026</x:v>
      </x:c>
    </x:row>
    <x:row r="64">
      <x:c r="A64" s="88" t="str">
        <x:v>headline</x:v>
      </x:c>
      <x:c r="B64" s="88" t="str">
        <x:v>Jets Returning Team MVP Isaiah Williams Delivering In Training Camp</x:v>
      </x:c>
      <x:c r="C64" s="88" t="str">
        <x:v>New York Jets</x:v>
      </x:c>
      <x:c r="D64" s="91" t="n">
        <x:v>46250.506944444445</x:v>
      </x:c>
      <x:c r="E64" s="88" t="str">
        <x:v>linked</x:v>
      </x:c>
      <x:c r="F64" s="88" t="str"/>
      <x:c r="G64" s="88" t="str">
        <x:v>https://www.newyorkjets.com/news/isaiah-williams-growing-into-weapon-for-jets-offense-08-16-2026</x:v>
      </x:c>
    </x:row>
    <x:row r="65">
      <x:c r="A65" s="88" t="str">
        <x:v>headline</x:v>
      </x:c>
      <x:c r="B65" s="88" t="str">
        <x:v>Devin Lloyd and Jaelan Phillips make instant impact on defense in debut</x:v>
      </x:c>
      <x:c r="C65" s="88" t="str">
        <x:v>Carolina Panthers</x:v>
      </x:c>
      <x:c r="D65" s="91" t="n">
        <x:v>46250.46630787037</x:v>
      </x:c>
      <x:c r="E65" s="88" t="str">
        <x:v>linked</x:v>
      </x:c>
      <x:c r="F65" s="88" t="str"/>
      <x:c r="G65" s="88" t="str">
        <x:v>https://www.panthers.com/news/devin-lloyd-and-jaelan-phillips-make-instant-impact-on-defense-in-debut</x:v>
      </x:c>
    </x:row>
    <x:row r="66">
      <x:c r="A66" s="88" t="str">
        <x:v>headline</x:v>
      </x:c>
      <x:c r="B66" s="88" t="str">
        <x:v>The Breakdown: A Promising Performance to Open the Preseason</x:v>
      </x:c>
      <x:c r="C66" s="88" t="str">
        <x:v>Baltimore Ravens</x:v>
      </x:c>
      <x:c r="D66" s="91" t="n">
        <x:v>46250.25866898148</x:v>
      </x:c>
      <x:c r="E66" s="88" t="str">
        <x:v>linked</x:v>
      </x:c>
      <x:c r="F66" s="88" t="str"/>
      <x:c r="G66" s="88" t="str">
        <x:v>https://www.baltimoreravens.com/news/jakobi-lane-vega-ioane-jesse-minter-matt-hibner-ravens-eagles-2026-preseason</x:v>
      </x:c>
    </x:row>
    <x:row r="67">
      <x:c r="A67" s="88" t="str">
        <x:v>headline</x:v>
      </x:c>
      <x:c r="B67" s="88" t="str">
        <x:v>Montorie Foster Jr.'s 'Great Summer' Continues With Strong Showing In Seahawks' Preseason Opener</x:v>
      </x:c>
      <x:c r="C67" s="88" t="str">
        <x:v>Seattle Seahawks</x:v>
      </x:c>
      <x:c r="D67" s="91" t="n">
        <x:v>46250.23337962963</x:v>
      </x:c>
      <x:c r="E67" s="88" t="str">
        <x:v>linked</x:v>
      </x:c>
      <x:c r="F67" s="88" t="str"/>
      <x:c r="G67" s="88" t="str">
        <x:v>https://www.seahawks.com/news/montorie-foster-jr-s-great-summer-continues-with-strong-showing-in-seahawks-preseason-opener</x:v>
      </x:c>
    </x:row>
    <x:row r="68">
      <x:c r="A68" s="88" t="str">
        <x:v>headline</x:v>
      </x:c>
      <x:c r="B68" s="88" t="str">
        <x:v>Linebacker Tyrice Knight 'The Best Player On The Field On Defense' In The Seahawks' Preseason Opener</x:v>
      </x:c>
      <x:c r="C68" s="88" t="str">
        <x:v>Seattle Seahawks</x:v>
      </x:c>
      <x:c r="D68" s="91" t="n">
        <x:v>46250.205243055556</x:v>
      </x:c>
      <x:c r="E68" s="88" t="str">
        <x:v>linked</x:v>
      </x:c>
      <x:c r="F68" s="88" t="str"/>
      <x:c r="G68" s="88" t="str">
        <x:v>https://www.seahawks.com/news/linebacker-tyrice-knight-the-best-player-on-the-field-on-defense-in-the-seahawks-preseason-opener</x:v>
      </x:c>
    </x:row>
    <x:row r="69">
      <x:c r="A69" s="88" t="str">
        <x:v>headline</x:v>
      </x:c>
      <x:c r="B69" s="88" t="str">
        <x:v>Devon Witherspoon Extension Something Seahawks 'Should Celebrate'</x:v>
      </x:c>
      <x:c r="C69" s="88" t="str">
        <x:v>Seattle Seahawks</x:v>
      </x:c>
      <x:c r="D69" s="91" t="n">
        <x:v>46250.19534722222</x:v>
      </x:c>
      <x:c r="E69" s="88" t="str">
        <x:v>linked</x:v>
      </x:c>
      <x:c r="F69" s="88" t="str"/>
      <x:c r="G69" s="88" t="str">
        <x:v>https://www.seahawks.com/news/devon-witherspoon-extension-something-seahawks-should-celebrate</x:v>
      </x:c>
    </x:row>
    <x:row r="70">
      <x:c r="A70" s="88" t="str">
        <x:v>headline</x:v>
      </x:c>
      <x:c r="B70" s="88" t="str">
        <x:v>Brian Schottenheimer sees things to like, things to clean up after Cowboys preseason opener</x:v>
      </x:c>
      <x:c r="C70" s="88" t="str">
        <x:v>Dallas Cowboys</x:v>
      </x:c>
      <x:c r="D70" s="91" t="n">
        <x:v>46250.18821759259</x:v>
      </x:c>
      <x:c r="E70" s="88" t="str">
        <x:v>linked</x:v>
      </x:c>
      <x:c r="F70" s="88" t="str"/>
      <x:c r="G70" s="88" t="str">
        <x:v>https://www.dallascowboys.com/news/brian-schottenheimer-sees-things-to-like-things-to-clean-up-after-cowboys-preseason-opener</x:v>
      </x:c>
    </x:row>
    <x:row r="71">
      <x:c r="A71" s="88" t="str">
        <x:v>headline</x:v>
      </x:c>
      <x:c r="B71" s="88" t="str">
        <x:v>Five Key Plays That Secured Jaguars' 24-20 Win Over Saints in 2026 Preseason Week 1</x:v>
      </x:c>
      <x:c r="C71" s="88" t="str">
        <x:v>Jacksonville Jaguars</x:v>
      </x:c>
      <x:c r="D71" s="91" t="n">
        <x:v>46250.1018287037</x:v>
      </x:c>
      <x:c r="E71" s="88" t="str">
        <x:v>linked</x:v>
      </x:c>
      <x:c r="F71" s="88" t="str"/>
      <x:c r="G71" s="88" t="str">
        <x:v>https://www.jaguars.com/news/five-key-plays-that-secured-jaguars-24-20-win-over-saints-in-2026-preseason-week-1</x:v>
      </x:c>
    </x:row>
    <x:row r="72">
      <x:c r="A72" s="88" t="str">
        <x:v>headline</x:v>
      </x:c>
      <x:c r="B72" s="88" t="str">
        <x:v>Browns' quarterbacks continue competition in preseason loss to the Bears | 3 Big Takeaways</x:v>
      </x:c>
      <x:c r="C72" s="88" t="str">
        <x:v>Cleveland Browns</x:v>
      </x:c>
      <x:c r="D72" s="91" t="n">
        <x:v>46250.10082175926</x:v>
      </x:c>
      <x:c r="E72" s="88" t="str">
        <x:v>linked</x:v>
      </x:c>
      <x:c r="F72" s="88" t="str"/>
      <x:c r="G72" s="88" t="str">
        <x:v>https://www.clevelandbrowns.com/news/browns-quarterbacks-continue-competition-in-preseason-loss-to-the-bears-3-big-takeaways</x:v>
      </x:c>
    </x:row>
    <x:row r="73">
      <x:c r="A73" s="88" t="str">
        <x:v>headline</x:v>
      </x:c>
      <x:c r="B73" s="88" t="str">
        <x:v>Five Storylines From Jaguars' 2026 Preseason Week 1 Victory Over Saints</x:v>
      </x:c>
      <x:c r="C73" s="88" t="str">
        <x:v>Jacksonville Jaguars</x:v>
      </x:c>
      <x:c r="D73" s="91" t="n">
        <x:v>46250.08692129629</x:v>
      </x:c>
      <x:c r="E73" s="88" t="str">
        <x:v>linked</x:v>
      </x:c>
      <x:c r="F73" s="88" t="str"/>
      <x:c r="G73" s="88" t="str">
        <x:v>https://www.jaguars.com/news/five-storylines-from-jaguars-2026-preseason-week-1-victory-over-saints</x:v>
      </x:c>
    </x:row>
    <x:row r="74">
      <x:c r="A74" s="88" t="str">
        <x:v>headline</x:v>
      </x:c>
      <x:c r="B74" s="88" t="str">
        <x:v>New Orleans Saints stack noteworthy performances in preseason opener against Jacksonville</x:v>
      </x:c>
      <x:c r="C74" s="88" t="str">
        <x:v>New Orleans Saints</x:v>
      </x:c>
      <x:c r="D74" s="91" t="n">
        <x:v>46250.083449074074</x:v>
      </x:c>
      <x:c r="E74" s="88" t="str">
        <x:v>linked</x:v>
      </x:c>
      <x:c r="F74" s="88" t="str"/>
      <x:c r="G74" s="88" t="str">
        <x:v>https://www.neworleanssaints.com/news/new-orleans-saints-stack-noteworthy-performances-in-preseason-opener-against-jacksonville</x:v>
      </x:c>
    </x:row>
    <x:row r="75">
      <x:c r="A75" s="88" t="str">
        <x:v>headline</x:v>
      </x:c>
      <x:c r="B75" s="88" t="str">
        <x:v>KC Concepcion posts encouraging preseason debut | By the Numbers</x:v>
      </x:c>
      <x:c r="C75" s="88" t="str">
        <x:v>Cleveland Browns</x:v>
      </x:c>
      <x:c r="D75" s="91" t="n">
        <x:v>46250.0594212963</x:v>
      </x:c>
      <x:c r="E75" s="88" t="str">
        <x:v>linked</x:v>
      </x:c>
      <x:c r="F75" s="88" t="str"/>
      <x:c r="G75" s="88" t="str">
        <x:v>https://www.clevelandbrowns.com/news/kc-concepcion-posts-encouraging-preseason-debut-by-the-numbers</x:v>
      </x:c>
    </x:row>
    <x:row r="76">
      <x:c r="A76" s="88" t="str">
        <x:v>headline</x:v>
      </x:c>
      <x:c r="B76" s="88" t="str">
        <x:v>From the Podium: Sean McVay, Ty Simpson and Dean Connors detail Rams' win over Chiefs in first preseason game</x:v>
      </x:c>
      <x:c r="C76" s="88" t="str">
        <x:v>Los Angeles Rams</x:v>
      </x:c>
      <x:c r="D76" s="91" t="n">
        <x:v>46250.05431712963</x:v>
      </x:c>
      <x:c r="E76" s="88" t="str">
        <x:v>linked</x:v>
      </x:c>
      <x:c r="F76" s="88" t="str"/>
      <x:c r="G76" s="88" t="str">
        <x:v>https://www.therams.com/news/rams-head-coach-sean-mcvay-quarterback-ty-simpson-running-back-dean-connors-win-over-chiefs-in-first-preseason-game-press-conference</x:v>
      </x:c>
    </x:row>
    <x:row r="77">
      <x:c r="A77" s="88" t="str">
        <x:v>headline</x:v>
      </x:c>
      <x:c r="B77" s="88" t="str">
        <x:v>Chargers Training Camp Report: Molden's INT Caps Off Strong Defensive Showing on Day 13</x:v>
      </x:c>
      <x:c r="C77" s="88" t="str">
        <x:v>Los Angeles Chargers</x:v>
      </x:c>
      <x:c r="D77" s="91" t="n">
        <x:v>46250.041666666664</x:v>
      </x:c>
      <x:c r="E77" s="88" t="str">
        <x:v>linked</x:v>
      </x:c>
      <x:c r="F77" s="88" t="str"/>
      <x:c r="G77" s="88" t="str">
        <x:v>https://www.chargers.com/news/training-camp-report-elijah-molden-day-13</x:v>
      </x:c>
    </x:row>
    <x:row r="78">
      <x:c r="A78" s="88" t="str">
        <x:v>headline</x:v>
      </x:c>
      <x:c r="B78" s="88" t="str">
        <x:v>Harris Hits: Derek Stingley Jr. Dazzles as Texans Beat the Heat at Camp</x:v>
      </x:c>
      <x:c r="C78" s="88" t="str">
        <x:v>Houston Texans</x:v>
      </x:c>
      <x:c r="D78" s="91" t="n">
        <x:v>46250.03126157408</x:v>
      </x:c>
      <x:c r="E78" s="88" t="str">
        <x:v>linked</x:v>
      </x:c>
      <x:c r="F78" s="88" t="str"/>
      <x:c r="G78" s="88" t="str">
        <x:v>https://www.houstontexans.com/news/harris-hits-derek-stingley-jr-dazzles-as-texans-beat-the-heat-at-camp</x:v>
      </x:c>
    </x:row>
    <x:row r="79">
      <x:c r="A79" s="88" t="str">
        <x:v>headline</x:v>
      </x:c>
      <x:c r="B79" s="88" t="str">
        <x:v>Feature: Rookie quarterback Ty Simpson in command throughout NFL preseason debut for Rams at Chiefs</x:v>
      </x:c>
      <x:c r="C79" s="88" t="str">
        <x:v>Los Angeles Rams</x:v>
      </x:c>
      <x:c r="D79" s="91" t="n">
        <x:v>46250.02028935185</x:v>
      </x:c>
      <x:c r="E79" s="88" t="str">
        <x:v>linked</x:v>
      </x:c>
      <x:c r="F79" s="88" t="str"/>
      <x:c r="G79" s="88" t="str">
        <x:v>https://www.therams.com/news/rookie-quarterback-ty-simpson-rams-at-chiefs-in-command-throughout-nfl-preseason-debut</x:v>
      </x:c>
    </x:row>
    <x:row r="80">
      <x:c r="A80" s="88" t="str">
        <x:v>headline</x:v>
      </x:c>
      <x:c r="B80" s="88" t="str">
        <x:v>6 players that stood out in Bears' first preseason game</x:v>
      </x:c>
      <x:c r="C80" s="88" t="str">
        <x:v>Chicago Bears</x:v>
      </x:c>
      <x:c r="D80" s="91" t="n">
        <x:v>46249.997569444444</x:v>
      </x:c>
      <x:c r="E80" s="88" t="str">
        <x:v>linked</x:v>
      </x:c>
      <x:c r="F80" s="88" t="str"/>
      <x:c r="G80" s="88" t="str">
        <x:v>https://www.chicagobears.com/news/6-players-that-stood-out-in-bears-first-preseason-game</x:v>
      </x:c>
    </x:row>
    <x:row r="81">
      <x:c r="A81" s="88" t="str">
        <x:v>headline</x:v>
      </x:c>
      <x:c r="B81" s="88" t="str">
        <x:v>Day 12 of 2026 Training Camp: Offensive Line Competition Continues, Evans and Cowing Return</x:v>
      </x:c>
      <x:c r="C81" s="88" t="str">
        <x:v>San Francisco 49ers</x:v>
      </x:c>
      <x:c r="D81" s="91" t="n">
        <x:v>46249.994571759256</x:v>
      </x:c>
      <x:c r="E81" s="88" t="str">
        <x:v>linked</x:v>
      </x:c>
      <x:c r="F81" s="88" t="str"/>
      <x:c r="G81" s="88" t="str">
        <x:v>https://www.49ers.com/news/day-12-of-2026-training-camp-offensive-line-competition-continues-evans-and-cowing-return</x:v>
      </x:c>
    </x:row>
    <x:row r="82">
      <x:c r="A82" s="88" t="str">
        <x:v>headline</x:v>
      </x:c>
      <x:c r="B82" s="88" t="str">
        <x:v>5 Takeaways from Rams' 20-12 preseason Week 1 win over Chiefs: Ty Simpson looks comfortable, Max Klare a trustworthy target, Xavier Smith's big punt return and more</x:v>
      </x:c>
      <x:c r="C82" s="88" t="str">
        <x:v>Los Angeles Rams</x:v>
      </x:c>
      <x:c r="D82" s="91" t="n">
        <x:v>46249.98819444444</x:v>
      </x:c>
      <x:c r="E82" s="88" t="str">
        <x:v>linked</x:v>
      </x:c>
      <x:c r="F82" s="88" t="str"/>
      <x:c r="G82" s="88" t="str">
        <x:v>https://www.therams.com/news/5-takeaways-from-rams-20-12-preseason-week-1-win-over-chiefs-ty-simpson-looks-comfortable-max-klare-a-trustworthy-target-xavier-smith-s-big-punt-return-and-more</x:v>
      </x:c>
    </x:row>
    <x:row r="83">
      <x:c r="A83" s="88" t="str">
        <x:v>headline</x:v>
      </x:c>
      <x:c r="B83" s="88" t="str">
        <x:v>Ten Observations From Titans Training Camp on Saturday</x:v>
      </x:c>
      <x:c r="C83" s="88" t="str">
        <x:v>Tennessee Titans</x:v>
      </x:c>
      <x:c r="D83" s="91" t="n">
        <x:v>46249.96902777778</x:v>
      </x:c>
      <x:c r="E83" s="88" t="str">
        <x:v>linked</x:v>
      </x:c>
      <x:c r="F83" s="88" t="str"/>
      <x:c r="G83" s="88" t="str">
        <x:v>https://www.tennesseetitans.com/news/ten-observations-from-titans-training-camp-on-saturday-x3297</x:v>
      </x:c>
    </x:row>
    <x:row r="84">
      <x:c r="A84" s="88" t="str">
        <x:v>headline</x:v>
      </x:c>
      <x:c r="B84" s="88" t="str">
        <x:v>Vikings Debuts Include Max Bredeson Start, Jacob Thomas' 'Best Feeling in the World' Moment</x:v>
      </x:c>
      <x:c r="C84" s="88" t="str">
        <x:v>Minnesota Vikings</x:v>
      </x:c>
      <x:c r="D84" s="91" t="n">
        <x:v>46249.942037037035</x:v>
      </x:c>
      <x:c r="E84" s="88" t="str">
        <x:v>linked</x:v>
      </x:c>
      <x:c r="F84" s="88" t="str"/>
      <x:c r="G84" s="88" t="str">
        <x:v>https://www.vikings.com/news/max-bredeson-jacob-thomas-nfl-debuts-2026-giants</x:v>
      </x:c>
    </x:row>
    <x:row r="85">
      <x:c r="A85" s="88" t="str">
        <x:v>headline</x:v>
      </x:c>
      <x:c r="B85" s="88" t="str">
        <x:v>Top 3 things we learned from Bills vs. Panthers | Preseason Week 1</x:v>
      </x:c>
      <x:c r="C85" s="88" t="str">
        <x:v>Buffalo Bills</x:v>
      </x:c>
      <x:c r="D85" s="91" t="n">
        <x:v>46249.941666666666</x:v>
      </x:c>
      <x:c r="E85" s="88" t="str">
        <x:v>linked</x:v>
      </x:c>
      <x:c r="F85" s="88" t="str"/>
      <x:c r="G85" s="88" t="str">
        <x:v>https://www.buffalobills.com/news/top-3-things-we-learned-from-bills-vs-panthers-preseason-week-1</x:v>
      </x:c>
    </x:row>
    <x:row r="86">
      <x:c r="A86" s="88" t="str">
        <x:v>headline</x:v>
      </x:c>
      <x:c r="B86" s="88" t="str">
        <x:v>'Definitely helps my confidence' | Bills react to Week 1 preseason victory in first game at Highmark Stadium</x:v>
      </x:c>
      <x:c r="C86" s="88" t="str">
        <x:v>Buffalo Bills</x:v>
      </x:c>
      <x:c r="D86" s="91" t="n">
        <x:v>46249.924305555556</x:v>
      </x:c>
      <x:c r="E86" s="88" t="str">
        <x:v>linked</x:v>
      </x:c>
      <x:c r="F86" s="88" t="str"/>
      <x:c r="G86" s="88" t="str">
        <x:v>https://www.buffalobills.com/news/definitely-helps-my-confidence-bills-react-to-week-1-preseason-victory-in-first-game-at-highmark-stadium</x:v>
      </x:c>
    </x:row>
    <x:row r="87">
      <x:c r="A87" s="88" t="str">
        <x:v>headline</x:v>
      </x:c>
      <x:c r="B87" s="88" t="str">
        <x:v>Training Camp Notebook: DeForest Buckner continuing to make steady progress with eye on Colts' Week 1 opener</x:v>
      </x:c>
      <x:c r="C87" s="88" t="str">
        <x:v>Indianapolis Colts</x:v>
      </x:c>
      <x:c r="D87" s="91" t="n">
        <x:v>46249.919641203705</x:v>
      </x:c>
      <x:c r="E87" s="88" t="str">
        <x:v>linked</x:v>
      </x:c>
      <x:c r="F87" s="88" t="str"/>
      <x:c r="G87" s="88" t="str">
        <x:v>https://www.colts.com/news/training-camp-notebook-deforest-buckner-continuing-to-make-steady-progress-with-eye-on-colts-week-1-opener</x:v>
      </x:c>
    </x:row>
    <x:row r="88">
      <x:c r="A88" s="88" t="str">
        <x:v>headline</x:v>
      </x:c>
      <x:c r="B88" s="88" t="str">
        <x:v>By the Numbers: Bears' Preseason Week 1 win over Browns</x:v>
      </x:c>
      <x:c r="C88" s="88" t="str">
        <x:v>Chicago Bears</x:v>
      </x:c>
      <x:c r="D88" s="91" t="n">
        <x:v>46249.902141203704</x:v>
      </x:c>
      <x:c r="E88" s="88" t="str">
        <x:v>linked</x:v>
      </x:c>
      <x:c r="F88" s="88" t="str"/>
      <x:c r="G88" s="88" t="str">
        <x:v>https://www.chicagobears.com/news/by-the-numbers-bears-preseason-week-1-win-over-browns</x:v>
      </x:c>
    </x:row>
    <x:row r="89">
      <x:c r="A89" s="88" t="str">
        <x:v>headline</x:v>
      </x:c>
      <x:c r="B89" s="88" t="str">
        <x:v>Kyler Murray Makes Vikings Debut; J.J. McCarthy Plays Most of 1st Half at Giants</x:v>
      </x:c>
      <x:c r="C89" s="88" t="str">
        <x:v>Minnesota Vikings</x:v>
      </x:c>
      <x:c r="D89" s="91" t="n">
        <x:v>46249.895833333336</x:v>
      </x:c>
      <x:c r="E89" s="88" t="str">
        <x:v>linked</x:v>
      </x:c>
      <x:c r="F89" s="88" t="str"/>
      <x:c r="G89" s="88" t="str">
        <x:v>https://www.vikings.com/news/jj-mccarthy-kyler-murray-preseason-debut-giants-2026</x:v>
      </x:c>
    </x:row>
    <x:row r="90">
      <x:c r="A90" s="88" t="str">
        <x:v>headline</x:v>
      </x:c>
      <x:c r="B90" s="88" t="str">
        <x:v>Ja'seem Reed becoming a receiver every Panthers quarterback can trust</x:v>
      </x:c>
      <x:c r="C90" s="88" t="str">
        <x:v>Carolina Panthers</x:v>
      </x:c>
      <x:c r="D90" s="91" t="n">
        <x:v>46249.894953703704</x:v>
      </x:c>
      <x:c r="E90" s="88" t="str">
        <x:v>linked</x:v>
      </x:c>
      <x:c r="F90" s="88" t="str"/>
      <x:c r="G90" s="88" t="str">
        <x:v>https://www.panthers.com/news/ja-seem-reed-becoming-a-receiver-every-panthers-quarterback-can-trust-preseason-touchdown-buffalo</x:v>
      </x:c>
    </x:row>
    <x:row r="91">
      <x:c r="A91" s="88" t="str">
        <x:v>headline</x:v>
      </x:c>
      <x:c r="B91" s="88" t="str">
        <x:v>For Jonathon Brooks, his return was an "emotional" one</x:v>
      </x:c>
      <x:c r="C91" s="88" t="str">
        <x:v>Carolina Panthers</x:v>
      </x:c>
      <x:c r="D91" s="91" t="n">
        <x:v>46249.88842592593</x:v>
      </x:c>
      <x:c r="E91" s="88" t="str">
        <x:v>linked</x:v>
      </x:c>
      <x:c r="F91" s="88" t="str"/>
      <x:c r="G91" s="88" t="str">
        <x:v>https://www.panthers.com/news/for-jonathon-brooks-his-return-was-an-emotional-one-acl-rehab-first-game-back-buffalo</x:v>
      </x:c>
    </x:row>
    <x:row r="92">
      <x:c r="A92" s="88" t="str">
        <x:v>headline</x:v>
      </x:c>
      <x:c r="B92" s="88" t="str">
        <x:v>Jets Activate DT T'Vondre Sweat Off the NFI List</x:v>
      </x:c>
      <x:c r="C92" s="88" t="str">
        <x:v>New York Jets</x:v>
      </x:c>
      <x:c r="D92" s="91" t="n">
        <x:v>46249.86454861111</x:v>
      </x:c>
      <x:c r="E92" s="88" t="str">
        <x:v>linked</x:v>
      </x:c>
      <x:c r="F92" s="88" t="str"/>
      <x:c r="G92" s="88" t="str">
        <x:v>https://www.newyorkjets.com/news/jets-activate-dt-t-vondre-sweat-off-the-nfi-list</x:v>
      </x:c>
    </x:row>
    <x:row r="93">
      <x:c r="A93" s="88" t="str">
        <x:v>headline</x:v>
      </x:c>
      <x:c r="B93" s="88" t="str">
        <x:v>Vikings at Giants Game Observations: Revamped Run Game</x:v>
      </x:c>
      <x:c r="C93" s="88" t="str">
        <x:v>Minnesota Vikings</x:v>
      </x:c>
      <x:c r="D93" s="91" t="n">
        <x:v>46249.854166666664</x:v>
      </x:c>
      <x:c r="E93" s="88" t="str">
        <x:v>linked</x:v>
      </x:c>
      <x:c r="F93" s="88" t="str"/>
      <x:c r="G93" s="88" t="str">
        <x:v>https://www.vikings.com/news/2026-giants-preseason-game-observations-revamped</x:v>
      </x:c>
    </x:row>
    <x:row r="94">
      <x:c r="A94" s="88" t="str">
        <x:v>headline</x:v>
      </x:c>
      <x:c r="B94" s="88" t="str">
        <x:v>Bears 34, Browns 10 | Final Score, Stats &amp; Game Recap</x:v>
      </x:c>
      <x:c r="C94" s="88" t="str">
        <x:v>Cleveland Browns</x:v>
      </x:c>
      <x:c r="D94" s="91" t="n">
        <x:v>46249.845243055555</x:v>
      </x:c>
      <x:c r="E94" s="88" t="str">
        <x:v>linked</x:v>
      </x:c>
      <x:c r="F94" s="88" t="str"/>
      <x:c r="G94" s="88" t="str">
        <x:v>https://www.clevelandbrowns.com/news/bears-34-browns-10-final-score-stats-game-recap</x:v>
      </x:c>
    </x:row>
    <x:row r="95">
      <x:c r="A95" s="88" t="str">
        <x:v>headline</x:v>
      </x:c>
      <x:c r="B95" s="88" t="str">
        <x:v>Bills 29, Panthers 14 | Final score, game highlights, key stats | Preseason Week 1</x:v>
      </x:c>
      <x:c r="C95" s="88" t="str">
        <x:v>Buffalo Bills</x:v>
      </x:c>
      <x:c r="D95" s="91" t="n">
        <x:v>46249.8449537037</x:v>
      </x:c>
      <x:c r="E95" s="88" t="str">
        <x:v>linked</x:v>
      </x:c>
      <x:c r="F95" s="88" t="str"/>
      <x:c r="G95" s="88" t="str">
        <x:v>https://www.buffalobills.com/news/bills-29-panthers-14-final-score-game-highlights-key-stats-preseason-week-1</x:v>
      </x:c>
    </x:row>
    <x:row r="96">
      <x:c r="A96" s="88" t="str">
        <x:v>headline</x:v>
      </x:c>
      <x:c r="B96" s="88" t="str">
        <x:v>Gardner Minshew Finds Comfort In Role With Cardinals</x:v>
      </x:c>
      <x:c r="C96" s="88" t="str">
        <x:v>Arizona Cardinals</x:v>
      </x:c>
      <x:c r="D96" s="91" t="n">
        <x:v>46249.833333333336</x:v>
      </x:c>
      <x:c r="E96" s="88" t="str">
        <x:v>linked</x:v>
      </x:c>
      <x:c r="F96" s="88" t="str"/>
      <x:c r="G96" s="88" t="str">
        <x:v>https://www.azcardinals.com/news/gardner-minshew-finds-comfort-in-role-with-cardinals</x:v>
      </x:c>
    </x:row>
    <x:row r="97">
      <x:c r="A97" s="88" t="str">
        <x:v>headline</x:v>
      </x:c>
      <x:c r="B97" s="88" t="str">
        <x:v>Packers announce roster move | August 15, 2026</x:v>
      </x:c>
      <x:c r="C97" s="88" t="str">
        <x:v>Green Bay Packers</x:v>
      </x:c>
      <x:c r="D97" s="91" t="n">
        <x:v>46249.833333333336</x:v>
      </x:c>
      <x:c r="E97" s="88" t="str">
        <x:v>linked</x:v>
      </x:c>
      <x:c r="F97" s="88" t="str"/>
      <x:c r="G97" s="88" t="str">
        <x:v>https://www.packers.com/news/packers-announce-roster-move-august-15-2026</x:v>
      </x:c>
    </x:row>
    <x:row r="98">
      <x:c r="A98" s="88" t="str">
        <x:v>headline</x:v>
      </x:c>
      <x:c r="B98" s="88" t="str">
        <x:v>Patriots Make Roster Moves</x:v>
      </x:c>
      <x:c r="C98" s="88" t="str">
        <x:v>New England Patriots</x:v>
      </x:c>
      <x:c r="D98" s="91" t="n">
        <x:v>46249.833333333336</x:v>
      </x:c>
      <x:c r="E98" s="88" t="str">
        <x:v>linked</x:v>
      </x:c>
      <x:c r="F98" s="88" t="str"/>
      <x:c r="G98" s="88" t="str">
        <x:v>https://www.patriots.com/news/patriots-make-roster-moves-x4476</x:v>
      </x:c>
    </x:row>
    <x:row r="99">
      <x:c r="A99" s="88" t="str">
        <x:v>headline</x:v>
      </x:c>
      <x:c r="B99" s="88" t="str">
        <x:v>Takeaways from Buccaneers-Jets | Preseason Opener</x:v>
      </x:c>
      <x:c r="C99" s="88" t="str">
        <x:v>Tampa Bay Buccaneers</x:v>
      </x:c>
      <x:c r="D99" s="91" t="n">
        <x:v>46249.833333333336</x:v>
      </x:c>
      <x:c r="E99" s="88" t="str">
        <x:v>linked</x:v>
      </x:c>
      <x:c r="F99" s="88" t="str"/>
      <x:c r="G99" s="88" t="str">
        <x:v>https://www.buccaneers.com/news/takeaways-from-buccaneers-jets-preseason-opener-2026</x:v>
      </x:c>
    </x:row>
    <x:row r="100">
      <x:c r="A100" s="88" t="str">
        <x:v>headline</x:v>
      </x:c>
      <x:c r="B100" s="88" t="str">
        <x:v>Raiders sign DT Folorunso Fatukasi</x:v>
      </x:c>
      <x:c r="C100" s="88" t="str">
        <x:v>Las Vegas Raiders</x:v>
      </x:c>
      <x:c r="D100" s="91" t="n">
        <x:v>46249.790185185186</x:v>
      </x:c>
      <x:c r="E100" s="88" t="str">
        <x:v>linked</x:v>
      </x:c>
      <x:c r="F100" s="88" t="str"/>
      <x:c r="G100" s="88" t="str">
        <x:v>https://www.raiders.com/news/raiders-sign-dt-folorunso-fatukasi</x:v>
      </x:c>
    </x:row>
    <x:row r="101">
      <x:c r="A101" s="88" t="str">
        <x:v>headline</x:v>
      </x:c>
      <x:c r="B101" s="88" t="str">
        <x:v>Day 15 Observations: Doubs on the rise in Patriots offense</x:v>
      </x:c>
      <x:c r="C101" s="88" t="str">
        <x:v>New England Patriots</x:v>
      </x:c>
      <x:c r="D101" s="91" t="n">
        <x:v>46249.768483796295</x:v>
      </x:c>
      <x:c r="E101" s="88" t="str">
        <x:v>linked</x:v>
      </x:c>
      <x:c r="F101" s="88" t="str"/>
      <x:c r="G101" s="88" t="str">
        <x:v>https://www.patriots.com/news/day-15-observations-doubs-on-the-rise-in-patriots-offense</x:v>
      </x:c>
    </x:row>
    <x:row r="102">
      <x:c r="A102" s="88" t="str">
        <x:v>headline</x:v>
      </x:c>
      <x:c r="B102" s="88" t="str">
        <x:v>How to Watch and Listen | Preseason Week 1: Rams vs. Chiefs</x:v>
      </x:c>
      <x:c r="C102" s="88" t="str">
        <x:v>Kansas City Chiefs</x:v>
      </x:c>
      <x:c r="D102" s="91" t="n">
        <x:v>46249.708333333336</x:v>
      </x:c>
      <x:c r="E102" s="88" t="str">
        <x:v>linked</x:v>
      </x:c>
      <x:c r="F102" s="88" t="str"/>
      <x:c r="G102" s="88" t="str">
        <x:v>https://www.chiefs.com/news/how-to-watch-and-listen-preseason-week-1-rams-vs-chiefs</x:v>
      </x:c>
    </x:row>
    <x:row r="103">
      <x:c r="A103" s="88" t="str">
        <x:v>headline</x:v>
      </x:c>
      <x:c r="B103" s="88" t="str">
        <x:v>Game Recap: Dolphins Fall to Commanders in Preseason Opener</x:v>
      </x:c>
      <x:c r="C103" s="88" t="str">
        <x:v>Miami Dolphins</x:v>
      </x:c>
      <x:c r="D103" s="91" t="n">
        <x:v>46249.49831018518</x:v>
      </x:c>
      <x:c r="E103" s="88" t="str">
        <x:v>linked</x:v>
      </x:c>
      <x:c r="F103" s="88" t="str"/>
      <x:c r="G103" s="88" t="str">
        <x:v>https://www.miamidolphins.com/news/game-recap-dolphins-fall-to-commanders-in-preseason-opener</x:v>
      </x:c>
    </x:row>
    <x:row r="104">
      <x:c r="A104" s="88" t="str">
        <x:v>headline</x:v>
      </x:c>
      <x:c r="B104" s="88" t="str">
        <x:v>Transcript: Head Coach Mike Vrabel Press Conference 8/15</x:v>
      </x:c>
      <x:c r="C104" s="88" t="str">
        <x:v>New England Patriots</x:v>
      </x:c>
      <x:c r="D104" s="91" t="n">
        <x:v>46249.416666666664</x:v>
      </x:c>
      <x:c r="E104" s="88" t="str">
        <x:v>linked</x:v>
      </x:c>
      <x:c r="F104" s="88" t="str"/>
      <x:c r="G104" s="88" t="str">
        <x:v>https://www.patriots.com/news/transcript-head-coach-mike-vrabel-press-conference-8-15</x:v>
      </x:c>
    </x:row>
    <x:row r="105">
      <x:c r="A105" s="88" t="str">
        <x:v>headline</x:v>
      </x:c>
      <x:c r="B105" s="88" t="str">
        <x:v>'It's just something to build on': CBs Jahdae Barron and Riley Moss lead Denver's defense in 27-7 preseason win over Falcons</x:v>
      </x:c>
      <x:c r="C105" s="88" t="str">
        <x:v>Denver Broncos</x:v>
      </x:c>
      <x:c r="D105" s="91" t="n">
        <x:v>46249.22399305556</x:v>
      </x:c>
      <x:c r="E105" s="88" t="str">
        <x:v>linked</x:v>
      </x:c>
      <x:c r="F105" s="88" t="str"/>
      <x:c r="G105" s="88" t="str">
        <x:v>https://www.denverbroncos.com/news/it-s-just-something-to-build-on-cbs-jahdae-barron-and-riley-moss-lead-denver-s-defense-in-27-7-preseason-win-over-falcons</x:v>
      </x:c>
    </x:row>
  </x:sheetData>
  <x:mergeCells>
    <x:mergeCell ref="A1:G2"/>
    <x:mergeCell ref="A3:G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1" hidden="0" customWidth="1"/>
    <x:col min="3" max="3" width="11" hidden="0" customWidth="1"/>
    <x:col min="4" max="4" width="25" hidden="0" customWidth="1"/>
    <x:col min="5" max="5" width="11" hidden="0" customWidth="1"/>
    <x:col min="6" max="6" width="11" hidden="0" customWidth="1"/>
    <x:col min="7" max="7" width="11" hidden="0" customWidth="1"/>
    <x:col min="8" max="8" width="38" hidden="0" customWidth="1"/>
  </x:cols>
  <x:sheetData>
    <x:row r="1" ht="30" customHeight="1">
      <x:c r="A1" s="4" t="str">
        <x:v>Manual Draft Log</x:v>
      </x:c>
      <x:c r="B1" s="4"/>
      <x:c r="C1" s="4"/>
      <x:c r="D1" s="4"/>
      <x:c r="E1" s="4"/>
      <x:c r="F1" s="4"/>
      <x:c r="G1" s="4"/>
      <x:c r="H1" s="4"/>
    </x:row>
    <x:row r="2" ht="30" customHeight="1">
      <x:c r="A2" s="4"/>
      <x:c r="B2" s="4"/>
      <x:c r="C2" s="4"/>
      <x:c r="D2" s="4"/>
      <x:c r="E2" s="4"/>
      <x:c r="F2" s="4"/>
      <x:c r="G2" s="4"/>
      <x:c r="H2" s="4"/>
    </x:row>
    <x:row r="3">
      <x:c r="A3" s="6" t="str">
        <x:v>For the live, undoable tracker use the Pages UI. This sheet is a printable/manual fallback.</x:v>
      </x:c>
      <x:c r="B3" s="6"/>
      <x:c r="C3" s="6"/>
      <x:c r="D3" s="6"/>
      <x:c r="E3" s="6"/>
      <x:c r="F3" s="6"/>
      <x:c r="G3" s="6"/>
      <x:c r="H3" s="6"/>
    </x:row>
    <x:row r="5" ht="22" customHeight="1">
      <x:c r="A5" s="64" t="str">
        <x:v>Overall Pick</x:v>
      </x:c>
      <x:c r="B5" s="64" t="str">
        <x:v>Round</x:v>
      </x:c>
      <x:c r="C5" s="64" t="str">
        <x:v>Owner</x:v>
      </x:c>
      <x:c r="D5" s="64" t="str">
        <x:v>Player</x:v>
      </x:c>
      <x:c r="E5" s="64" t="str">
        <x:v>Pos</x:v>
      </x:c>
      <x:c r="F5" s="64" t="str">
        <x:v>Team</x:v>
      </x:c>
      <x:c r="G5" s="64" t="str">
        <x:v>War Score</x:v>
      </x:c>
      <x:c r="H5" s="64" t="str">
        <x:v>Notes</x:v>
      </x:c>
    </x:row>
    <x:row r="6">
      <x:c r="A6" t="n">
        <x:v>1</x:v>
      </x:c>
      <x:c r="B6" t="n">
        <x:v>1</x:v>
      </x:c>
      <x:c r="C6" s="5" t="str"/>
      <x:c r="D6" s="5" t="str"/>
      <x:c r="E6" s="5" t="str"/>
      <x:c r="F6" s="5" t="str"/>
      <x:c r="G6" s="5" t="str"/>
      <x:c r="H6" s="5" t="str"/>
    </x:row>
    <x:row r="7">
      <x:c r="A7" t="n">
        <x:v>2</x:v>
      </x:c>
      <x:c r="B7" t="n">
        <x:v>1</x:v>
      </x:c>
      <x:c r="C7" s="5" t="str"/>
      <x:c r="D7" s="5" t="str"/>
      <x:c r="E7" s="5" t="str"/>
      <x:c r="F7" s="5" t="str"/>
      <x:c r="G7" s="5" t="str"/>
      <x:c r="H7" s="5" t="str"/>
    </x:row>
    <x:row r="8">
      <x:c r="A8" t="n">
        <x:v>3</x:v>
      </x:c>
      <x:c r="B8" t="n">
        <x:v>1</x:v>
      </x:c>
      <x:c r="C8" s="5" t="str"/>
      <x:c r="D8" s="5" t="str"/>
      <x:c r="E8" s="5" t="str"/>
      <x:c r="F8" s="5" t="str"/>
      <x:c r="G8" s="5" t="str"/>
      <x:c r="H8" s="5" t="str"/>
    </x:row>
    <x:row r="9">
      <x:c r="A9" t="n">
        <x:v>4</x:v>
      </x:c>
      <x:c r="B9" t="n">
        <x:v>1</x:v>
      </x:c>
      <x:c r="C9" s="5" t="str"/>
      <x:c r="D9" s="5" t="str"/>
      <x:c r="E9" s="5" t="str"/>
      <x:c r="F9" s="5" t="str"/>
      <x:c r="G9" s="5" t="str"/>
      <x:c r="H9" s="5" t="str"/>
    </x:row>
    <x:row r="10">
      <x:c r="A10" t="n">
        <x:v>5</x:v>
      </x:c>
      <x:c r="B10" t="n">
        <x:v>1</x:v>
      </x:c>
      <x:c r="C10" s="5" t="str"/>
      <x:c r="D10" s="5" t="str"/>
      <x:c r="E10" s="5" t="str"/>
      <x:c r="F10" s="5" t="str"/>
      <x:c r="G10" s="5" t="str"/>
      <x:c r="H10" s="5" t="str"/>
    </x:row>
    <x:row r="11">
      <x:c r="A11" t="n">
        <x:v>6</x:v>
      </x:c>
      <x:c r="B11" t="n">
        <x:v>1</x:v>
      </x:c>
      <x:c r="C11" s="5" t="str"/>
      <x:c r="D11" s="5" t="str"/>
      <x:c r="E11" s="5" t="str"/>
      <x:c r="F11" s="5" t="str"/>
      <x:c r="G11" s="5" t="str"/>
      <x:c r="H11" s="5" t="str"/>
    </x:row>
    <x:row r="12">
      <x:c r="A12" t="n">
        <x:v>7</x:v>
      </x:c>
      <x:c r="B12" t="n">
        <x:v>1</x:v>
      </x:c>
      <x:c r="C12" s="5" t="str"/>
      <x:c r="D12" s="5" t="str"/>
      <x:c r="E12" s="5" t="str"/>
      <x:c r="F12" s="5" t="str"/>
      <x:c r="G12" s="5" t="str"/>
      <x:c r="H12" s="5" t="str"/>
    </x:row>
    <x:row r="13">
      <x:c r="A13" t="n">
        <x:v>8</x:v>
      </x:c>
      <x:c r="B13" t="n">
        <x:v>1</x:v>
      </x:c>
      <x:c r="C13" s="5" t="str"/>
      <x:c r="D13" s="5" t="str"/>
      <x:c r="E13" s="5" t="str"/>
      <x:c r="F13" s="5" t="str"/>
      <x:c r="G13" s="5" t="str"/>
      <x:c r="H13" s="5" t="str"/>
    </x:row>
    <x:row r="14">
      <x:c r="A14" t="n">
        <x:v>9</x:v>
      </x:c>
      <x:c r="B14" t="n">
        <x:v>1</x:v>
      </x:c>
      <x:c r="C14" s="5" t="str"/>
      <x:c r="D14" s="5" t="str"/>
      <x:c r="E14" s="5" t="str"/>
      <x:c r="F14" s="5" t="str"/>
      <x:c r="G14" s="5" t="str"/>
      <x:c r="H14" s="5" t="str"/>
    </x:row>
    <x:row r="15">
      <x:c r="A15" t="n">
        <x:v>10</x:v>
      </x:c>
      <x:c r="B15" t="n">
        <x:v>1</x:v>
      </x:c>
      <x:c r="C15" s="5" t="str"/>
      <x:c r="D15" s="5" t="str"/>
      <x:c r="E15" s="5" t="str"/>
      <x:c r="F15" s="5" t="str"/>
      <x:c r="G15" s="5" t="str"/>
      <x:c r="H15" s="5" t="str"/>
    </x:row>
    <x:row r="16">
      <x:c r="A16" t="n">
        <x:v>11</x:v>
      </x:c>
      <x:c r="B16" t="n">
        <x:v>2</x:v>
      </x:c>
      <x:c r="C16" s="5" t="str"/>
      <x:c r="D16" s="5" t="str"/>
      <x:c r="E16" s="5" t="str"/>
      <x:c r="F16" s="5" t="str"/>
      <x:c r="G16" s="5" t="str"/>
      <x:c r="H16" s="5" t="str"/>
    </x:row>
    <x:row r="17">
      <x:c r="A17" t="n">
        <x:v>12</x:v>
      </x:c>
      <x:c r="B17" t="n">
        <x:v>2</x:v>
      </x:c>
      <x:c r="C17" s="5" t="str"/>
      <x:c r="D17" s="5" t="str"/>
      <x:c r="E17" s="5" t="str"/>
      <x:c r="F17" s="5" t="str"/>
      <x:c r="G17" s="5" t="str"/>
      <x:c r="H17" s="5" t="str"/>
    </x:row>
    <x:row r="18">
      <x:c r="A18" t="n">
        <x:v>13</x:v>
      </x:c>
      <x:c r="B18" t="n">
        <x:v>2</x:v>
      </x:c>
      <x:c r="C18" s="5" t="str"/>
      <x:c r="D18" s="5" t="str"/>
      <x:c r="E18" s="5" t="str"/>
      <x:c r="F18" s="5" t="str"/>
      <x:c r="G18" s="5" t="str"/>
      <x:c r="H18" s="5" t="str"/>
    </x:row>
    <x:row r="19">
      <x:c r="A19" t="n">
        <x:v>14</x:v>
      </x:c>
      <x:c r="B19" t="n">
        <x:v>2</x:v>
      </x:c>
      <x:c r="C19" s="5" t="str"/>
      <x:c r="D19" s="5" t="str"/>
      <x:c r="E19" s="5" t="str"/>
      <x:c r="F19" s="5" t="str"/>
      <x:c r="G19" s="5" t="str"/>
      <x:c r="H19" s="5" t="str"/>
    </x:row>
    <x:row r="20">
      <x:c r="A20" t="n">
        <x:v>15</x:v>
      </x:c>
      <x:c r="B20" t="n">
        <x:v>2</x:v>
      </x:c>
      <x:c r="C20" s="5" t="str"/>
      <x:c r="D20" s="5" t="str"/>
      <x:c r="E20" s="5" t="str"/>
      <x:c r="F20" s="5" t="str"/>
      <x:c r="G20" s="5" t="str"/>
      <x:c r="H20" s="5" t="str"/>
    </x:row>
    <x:row r="21">
      <x:c r="A21" t="n">
        <x:v>16</x:v>
      </x:c>
      <x:c r="B21" t="n">
        <x:v>2</x:v>
      </x:c>
      <x:c r="C21" s="5" t="str"/>
      <x:c r="D21" s="5" t="str"/>
      <x:c r="E21" s="5" t="str"/>
      <x:c r="F21" s="5" t="str"/>
      <x:c r="G21" s="5" t="str"/>
      <x:c r="H21" s="5" t="str"/>
    </x:row>
    <x:row r="22">
      <x:c r="A22" t="n">
        <x:v>17</x:v>
      </x:c>
      <x:c r="B22" t="n">
        <x:v>2</x:v>
      </x:c>
      <x:c r="C22" s="5" t="str"/>
      <x:c r="D22" s="5" t="str"/>
      <x:c r="E22" s="5" t="str"/>
      <x:c r="F22" s="5" t="str"/>
      <x:c r="G22" s="5" t="str"/>
      <x:c r="H22" s="5" t="str"/>
    </x:row>
    <x:row r="23">
      <x:c r="A23" t="n">
        <x:v>18</x:v>
      </x:c>
      <x:c r="B23" t="n">
        <x:v>2</x:v>
      </x:c>
      <x:c r="C23" s="5" t="str"/>
      <x:c r="D23" s="5" t="str"/>
      <x:c r="E23" s="5" t="str"/>
      <x:c r="F23" s="5" t="str"/>
      <x:c r="G23" s="5" t="str"/>
      <x:c r="H23" s="5" t="str"/>
    </x:row>
    <x:row r="24">
      <x:c r="A24" t="n">
        <x:v>19</x:v>
      </x:c>
      <x:c r="B24" t="n">
        <x:v>2</x:v>
      </x:c>
      <x:c r="C24" s="5" t="str"/>
      <x:c r="D24" s="5" t="str"/>
      <x:c r="E24" s="5" t="str"/>
      <x:c r="F24" s="5" t="str"/>
      <x:c r="G24" s="5" t="str"/>
      <x:c r="H24" s="5" t="str"/>
    </x:row>
    <x:row r="25">
      <x:c r="A25" t="n">
        <x:v>20</x:v>
      </x:c>
      <x:c r="B25" t="n">
        <x:v>2</x:v>
      </x:c>
      <x:c r="C25" s="5" t="str"/>
      <x:c r="D25" s="5" t="str"/>
      <x:c r="E25" s="5" t="str"/>
      <x:c r="F25" s="5" t="str"/>
      <x:c r="G25" s="5" t="str"/>
      <x:c r="H25" s="5" t="str"/>
    </x:row>
    <x:row r="26">
      <x:c r="A26" t="n">
        <x:v>21</x:v>
      </x:c>
      <x:c r="B26" t="n">
        <x:v>3</x:v>
      </x:c>
      <x:c r="C26" s="5" t="str"/>
      <x:c r="D26" s="5" t="str"/>
      <x:c r="E26" s="5" t="str"/>
      <x:c r="F26" s="5" t="str"/>
      <x:c r="G26" s="5" t="str"/>
      <x:c r="H26" s="5" t="str"/>
    </x:row>
    <x:row r="27">
      <x:c r="A27" t="n">
        <x:v>22</x:v>
      </x:c>
      <x:c r="B27" t="n">
        <x:v>3</x:v>
      </x:c>
      <x:c r="C27" s="5" t="str"/>
      <x:c r="D27" s="5" t="str"/>
      <x:c r="E27" s="5" t="str"/>
      <x:c r="F27" s="5" t="str"/>
      <x:c r="G27" s="5" t="str"/>
      <x:c r="H27" s="5" t="str"/>
    </x:row>
    <x:row r="28">
      <x:c r="A28" t="n">
        <x:v>23</x:v>
      </x:c>
      <x:c r="B28" t="n">
        <x:v>3</x:v>
      </x:c>
      <x:c r="C28" s="5" t="str"/>
      <x:c r="D28" s="5" t="str"/>
      <x:c r="E28" s="5" t="str"/>
      <x:c r="F28" s="5" t="str"/>
      <x:c r="G28" s="5" t="str"/>
      <x:c r="H28" s="5" t="str"/>
    </x:row>
    <x:row r="29">
      <x:c r="A29" t="n">
        <x:v>24</x:v>
      </x:c>
      <x:c r="B29" t="n">
        <x:v>3</x:v>
      </x:c>
      <x:c r="C29" s="5" t="str"/>
      <x:c r="D29" s="5" t="str"/>
      <x:c r="E29" s="5" t="str"/>
      <x:c r="F29" s="5" t="str"/>
      <x:c r="G29" s="5" t="str"/>
      <x:c r="H29" s="5" t="str"/>
    </x:row>
  </x:sheetData>
  <x:mergeCells>
    <x:mergeCell ref="A1:H2"/>
    <x:mergeCell ref="A3:H3"/>
  </x:mergeCells>
  <x:dataValidations count="1">
    <x:dataValidation type="list" sqref="C6:C29">
      <x:formula1>"Mine,Opponent"</x:formula1>
    </x:dataValidation>
  </x:dataValidations>
  <x:pageMargins left="0.7" right="0.7" top="0.75" bottom="0.75" header="0.3" footer="0.3"/>
</x:worksheet>
</file>